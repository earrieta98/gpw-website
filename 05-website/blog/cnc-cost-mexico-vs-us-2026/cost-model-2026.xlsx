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puts" state="visible" r:id="rId5"/>
    <sheet sheetId="3" name="Tier Analysis" state="visible" r:id="rId6"/>
    <sheet sheetId="4" name="Sources" state="visible" r:id="rId7"/>
  </sheets>
  <calcPr calcId="171027" fullCalcOnLoad="1"/>
</workbook>
</file>

<file path=xl/sharedStrings.xml><?xml version="1.0" encoding="utf-8"?>
<sst xmlns="http://schemas.openxmlformats.org/spreadsheetml/2006/main" count="199" uniqueCount="163">
  <si>
    <t>GPW CNC Cost Model 2026</t>
  </si>
  <si>
    <t>Mexico vs U.S. CNC Manufacturing — Total Landed Cost</t>
  </si>
  <si>
    <t>How to use this model</t>
  </si>
  <si>
    <t xml:space="preserve">1. Open the "Inputs" sheet. Edit only the cells highlighted in coral — they all feed live formulas, so every output recalculates as you type. Gray cells are computed helpers; do not edit them.
2. Start with the three coral cells that matter most: your part-complexity mix (Tier A/B/C share) and your annual CNC spend. Then refine the wage, shop-rate, overhead, material and freight assumptions to your own situation if you want.
3. Open "Tier Analysis" to see your computed net landed savings by part complexity, and the labor-cost convergence that drives it.
4. Open "Sources" for a citation link and access date for every datapoint.
Tip: the Tier A/B/C shares must add to 100% — a check cell on the Inputs sheet flags it in red if they do not.</t>
  </si>
  <si>
    <t>Headline: up to ~80% on labor and 25–45% on total landed cost vs U.S. domestic — about 27% on a typical OEM part mix (the model computes your exact figure).</t>
  </si>
  <si>
    <t>Updated June 12, 2026 · Quarterly refresh planned · Tariff figures are volatile — see note on the Inputs sheet</t>
  </si>
  <si>
    <t xml:space="preserve">Global Precision Works (GPW)
Monterrey, Nuevo León, Mexico
sales@gpw-solutions.com
https://gpw-solutions.com</t>
  </si>
  <si>
    <t/>
  </si>
  <si>
    <t>Input</t>
  </si>
  <si>
    <t>Value</t>
  </si>
  <si>
    <t>Unit</t>
  </si>
  <si>
    <t>Source / note</t>
  </si>
  <si>
    <t>Edit only the coral cells — they all feed live formulas. Gray cells are reference only. Defaults reflect Q2 2026 published data.</t>
  </si>
  <si>
    <t>U.S. CNC LABOR (BLS OEWS May 2025 + ECEC Dec 2025)</t>
  </si>
  <si>
    <t>CNC Tool Operator — median wage</t>
  </si>
  <si>
    <t>USD/hr</t>
  </si>
  <si>
    <t>BLS OEWS May 2025, SOC 51-9161</t>
  </si>
  <si>
    <t>Machinist — median wage</t>
  </si>
  <si>
    <t>BLS OEWS May 2025, SOC 51-4041 (reference)</t>
  </si>
  <si>
    <t>Industrial Engineer — median wage</t>
  </si>
  <si>
    <t>BLS OEWS May 2025, SOC 17-2112</t>
  </si>
  <si>
    <t>Benefits load multiplier (×wages)</t>
  </si>
  <si>
    <t>multiplier</t>
  </si>
  <si>
    <t>BLS ECEC Dec 2025: benefits = 29.9% of total comp (all-private-industry; conservative proxy — manufacturing runs ~31–32%)</t>
  </si>
  <si>
    <t>MEXICO CNC LABOR (Tetakawi 2026 benchmark, fully fringed)</t>
  </si>
  <si>
    <t>Semi-skilled CNC operator</t>
  </si>
  <si>
    <t>Tetakawi 2026 Wage Benchmark (accessed Jun 2026)</t>
  </si>
  <si>
    <t>Manufacturing engineer</t>
  </si>
  <si>
    <t>Entry-level operator</t>
  </si>
  <si>
    <t>Tetakawi 2026 (reference only)</t>
  </si>
  <si>
    <t>SAVINGS DRIVERS (MX vs U.S.)</t>
  </si>
  <si>
    <t>Overhead / indirect savings</t>
  </si>
  <si>
    <t>ratio</t>
  </si>
  <si>
    <t>GPW conservative estimate — facility, utilities, indirect &amp; engineering labor cheaper in MX; machine capital &amp; tooling at parity</t>
  </si>
  <si>
    <t>Material cost (MX ÷ US)</t>
  </si>
  <si>
    <t>±5% on common metals; +5–15% on specialty alloys (1.00 = parity)</t>
  </si>
  <si>
    <t>U.S. CNC shop loaded rate (cross-check)</t>
  </si>
  <si>
    <t>NTMA/PMA member surveys, range $80–$140</t>
  </si>
  <si>
    <t>Mexico CNC shop loaded rate (cross-check)</t>
  </si>
  <si>
    <t>GPW network benchmark, range $45–$80</t>
  </si>
  <si>
    <t>PART-COST COMPOSITION BY TIER (each row must sum to 100%)</t>
  </si>
  <si>
    <t>Tier</t>
  </si>
  <si>
    <t>Direct labor</t>
  </si>
  <si>
    <t>Overhead</t>
  </si>
  <si>
    <t>Material</t>
  </si>
  <si>
    <t>A — simple, material-heavy</t>
  </si>
  <si>
    <t>B — medium, multi-setup</t>
  </si>
  <si>
    <t>C — complex, 5-axis / tight tol.</t>
  </si>
  <si>
    <t>Composition = how a typical part of that tier breaks down by cost element. Anchored to BLS/BCG machining cost structure; edit to your parts.</t>
  </si>
  <si>
    <t>LANDED-COST ADDERS (overland freight, USMCA in-house)</t>
  </si>
  <si>
    <t>Overland freight per part (incremental)</t>
  </si>
  <si>
    <t>USD/part</t>
  </si>
  <si>
    <t>C.H. Robinson + USDA overland freight data 2025 — order-of-magnitude; varies by part size/density/load fill</t>
  </si>
  <si>
    <t>Customs broker per shipment</t>
  </si>
  <si>
    <t>USD/shipment</t>
  </si>
  <si>
    <t>CBP / industry standard $75–$150 (excludes govt MPF &amp; duties)</t>
  </si>
  <si>
    <t>Avg parts per shipment</t>
  </si>
  <si>
    <t>parts</t>
  </si>
  <si>
    <t>Adjust to your typical order quantity</t>
  </si>
  <si>
    <t>Inventory carry per part (incremental)</t>
  </si>
  <si>
    <t>Negligible for most cases</t>
  </si>
  <si>
    <t>Avg part unit price</t>
  </si>
  <si>
    <t>Used to express the adders as a % of part cost — edit to your typical unit price</t>
  </si>
  <si>
    <t>USMCA filing cost</t>
  </si>
  <si>
    <t>Handled in-house (no incremental cost)</t>
  </si>
  <si>
    <t>TARIFF SCENARIO (optional — only when comparing vs an OFFSHORE origin)</t>
  </si>
  <si>
    <t>USMCA preferential rate (MX-origin, qualifying)</t>
  </si>
  <si>
    <t>%</t>
  </si>
  <si>
    <t>USTR / CBP — 0% requires meeting USMCA rules of origin (HTSUS Gen. Note 11)</t>
  </si>
  <si>
    <t>China stack on machined metal parts</t>
  </si>
  <si>
    <t>Sec 301 25% + Sec 122 10% ≈ 35%; +Sec 232 50% on steel/alu content. Post-IEEPA (SCOTUS Feb 2026). VOLATILE — verify before quoting</t>
  </si>
  <si>
    <t>U.S. domestic baseline</t>
  </si>
  <si>
    <t>No tariff (domestic supply)</t>
  </si>
  <si>
    <t>YOUR PORTFOLIO</t>
  </si>
  <si>
    <t>Tier A (simple) share of spend</t>
  </si>
  <si>
    <t>% of spend</t>
  </si>
  <si>
    <t>Default: typical OEM mix</t>
  </si>
  <si>
    <t>Tier B (medium) share of spend</t>
  </si>
  <si>
    <t>Tier C (complex) share of spend</t>
  </si>
  <si>
    <t>Shares total (must = 100%)</t>
  </si>
  <si>
    <t>Annual CNC machining spend</t>
  </si>
  <si>
    <t>USD</t>
  </si>
  <si>
    <t>Edit to your actual annual spend</t>
  </si>
  <si>
    <t>Part-cost savings</t>
  </si>
  <si>
    <t>Less landed adders</t>
  </si>
  <si>
    <t>Net landed savings</t>
  </si>
  <si>
    <t>Your spend</t>
  </si>
  <si>
    <t>Your savings</t>
  </si>
  <si>
    <t>Your Total Landed Cost Savings by Part Complexity</t>
  </si>
  <si>
    <t>Every figure below is computed live from the Inputs sheet. Change your mix and spend (Inputs) and these update.</t>
  </si>
  <si>
    <t>WEIGHTED TOTAL (your portfolio)</t>
  </si>
  <si>
    <t>Weighted net landed savings (% of spend)</t>
  </si>
  <si>
    <t>Methodology: Part-cost savings = (direct-labor share × labor savings) + (overhead share × overhead savings) + (material share × material savings), per the composition on the Inputs sheet. Net landed savings then subtracts overland freight, brokerage and inventory carry expressed as a % of average part price. Conservative by design — it does not include any tariff advantage vs U.S. domestic (USMCA = 0% either way).</t>
  </si>
  <si>
    <t>Labor Cost Convergence (drives the direct-labor savings above)</t>
  </si>
  <si>
    <t>Role</t>
  </si>
  <si>
    <t>U.S. wage (BLS)</t>
  </si>
  <si>
    <t>U.S. fully-loaded</t>
  </si>
  <si>
    <t>MX fully-fringed</t>
  </si>
  <si>
    <t>MX as % of US</t>
  </si>
  <si>
    <t>Labor savings</t>
  </si>
  <si>
    <t>CNC Operator (production)</t>
  </si>
  <si>
    <t>Manufacturing Engineer (context)</t>
  </si>
  <si>
    <t>The model uses the CNC-operator saving (the direct production labor in a machined part) as its direct-labor driver. Engineering/indirect labor (shown for context, ~67% cheaper) is captured in the lower "overhead savings" assumption, not the direct-labor line.</t>
  </si>
  <si>
    <t>Landed adder %:</t>
  </si>
  <si>
    <t>Landed adders as % of avg part price</t>
  </si>
  <si>
    <t>Shop-rate cross-check:</t>
  </si>
  <si>
    <t>Tariff Differential (optional — only when comparing vs an OFFSHORE origin)</t>
  </si>
  <si>
    <t>Duty avoided vs China-origin (on the dutiable part value)</t>
  </si>
  <si>
    <t>Duty advantage vs U.S. domestic (none — both 0%)</t>
  </si>
  <si>
    <t>Shown separately because a tariff advantage exists only against offshore (e.g., China) supply, not against U.S. domestic. The net landed savings above deliberately exclude it. Tariff figures are post-IEEPA (SCOTUS Feb 2026) and volatile — verify the China stack before quoting.</t>
  </si>
  <si>
    <t>ID</t>
  </si>
  <si>
    <t>Source</t>
  </si>
  <si>
    <t>URL</t>
  </si>
  <si>
    <t>Used in</t>
  </si>
  <si>
    <t>Sources Used in This Model</t>
  </si>
  <si>
    <t>Accessed June 2026. Quarterly refresh planned. Tariff figures are volatile (post-IEEPA) — re-verify before quoting.</t>
  </si>
  <si>
    <t>BLS-1</t>
  </si>
  <si>
    <t>BLS OEWS May 2025 — National occupational wages</t>
  </si>
  <si>
    <t>https://www.bls.gov/oes/current/oes_nat.htm</t>
  </si>
  <si>
    <t>U.S. wages</t>
  </si>
  <si>
    <t>BLS-2</t>
  </si>
  <si>
    <t>BLS Employer Costs for Employee Compensation (Dec 2025)</t>
  </si>
  <si>
    <t>https://www.bls.gov/news.release/ecec.htm</t>
  </si>
  <si>
    <t>Fully-loaded multiplier</t>
  </si>
  <si>
    <t>MX-1</t>
  </si>
  <si>
    <t>Tetakawi Manufacturing Wages in Mexico 2026 benchmark</t>
  </si>
  <si>
    <t>https://insights.tetakawi.com/manufacturing-wages-in-mexico-2025-2026-executive-benchmark-guide</t>
  </si>
  <si>
    <t>Mexico wages</t>
  </si>
  <si>
    <t>Cost-1</t>
  </si>
  <si>
    <t>BCG: Shifting Dynamics of Nearshoring in Mexico (2024)</t>
  </si>
  <si>
    <t>https://www.bcg.com/publications/2024/shifting-dynamics-of-nearshoring-in-mexico</t>
  </si>
  <si>
    <t>Cost composition</t>
  </si>
  <si>
    <t>Cost-2</t>
  </si>
  <si>
    <t>Reshoring Initiative TCO Estimator framework</t>
  </si>
  <si>
    <t>https://www.reshorenow.org/tco-estimator/</t>
  </si>
  <si>
    <t>TCO methodology</t>
  </si>
  <si>
    <t>Resh-1</t>
  </si>
  <si>
    <t>Reshoring Initiative 2024 Annual Report</t>
  </si>
  <si>
    <t>https://reshorenow.org/june-9-2025/</t>
  </si>
  <si>
    <t>Reshoring trends</t>
  </si>
  <si>
    <t>Resh-2</t>
  </si>
  <si>
    <t>Kearney 2025 Reshoring Index</t>
  </si>
  <si>
    <t>https://www.kearney.com/service/operations-performance/us-reshoring-index</t>
  </si>
  <si>
    <t>Wage convergence</t>
  </si>
  <si>
    <t>Trade-1</t>
  </si>
  <si>
    <t>USTR Section 301 enforcement actions</t>
  </si>
  <si>
    <t>https://ustr.gov/issue-areas/enforcement/section-301-investigations</t>
  </si>
  <si>
    <t>Tariff scenario</t>
  </si>
  <si>
    <t>Trade-2</t>
  </si>
  <si>
    <t>CBP — USMCA (rules of origin, duty-free)</t>
  </si>
  <si>
    <t>https://www.cbp.gov/trade/usmca</t>
  </si>
  <si>
    <t>USMCA filing</t>
  </si>
  <si>
    <t>Trade-3</t>
  </si>
  <si>
    <t>CBP — Section 232 steel/aluminum tariffs FAQ</t>
  </si>
  <si>
    <t>https://www.cbp.gov/trade/programs-administration/entry-summary/232-tariffs-aluminum-and-steel-faqs</t>
  </si>
  <si>
    <t>Freight-1</t>
  </si>
  <si>
    <t>C.H. Robinson North America Freight Market Update, April 2025</t>
  </si>
  <si>
    <t>https://www.chrobinson.com/en-us/resources/insights-and-advisories/north-america-freight-insights/apr-2025-freight-market-update/addl-supply-chain-updates/cross-border/</t>
  </si>
  <si>
    <t>Overland freight (qualitative)</t>
  </si>
  <si>
    <t>Freight-2</t>
  </si>
  <si>
    <t>CBP — Customs broker user fees</t>
  </si>
  <si>
    <t>https://www.cbp.gov/trade/programs-administration/customs-brokers/fees</t>
  </si>
  <si>
    <t>Brokerage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</si>
</sst>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&quot;$&quot;#,##0.00&quot;/hr&quot;"/>
  </numFmts>
  <fonts count="27" x14ac:knownFonts="1">
    <font>
      <color theme="1"/>
      <family val="2"/>
      <scheme val="minor"/>
      <sz val="11"/>
      <name val="Calibri"/>
    </font>
    <font>
      <b/>
      <color rgb="FF23555A"/>
      <sz val="26"/>
      <name val="Lato"/>
    </font>
    <font>
      <color rgb="FF6E7479"/>
      <sz val="14"/>
      <name val="Lato"/>
    </font>
    <font>
      <b/>
      <color rgb="FFED835E"/>
      <sz val="12"/>
      <name val="Lato"/>
    </font>
    <font>
      <sz val="11"/>
      <name val="Lato"/>
    </font>
    <font>
      <b/>
      <color rgb="FF2A4E64"/>
      <sz val="12"/>
      <name val="Lato"/>
    </font>
    <font>
      <i/>
      <color rgb="FF6E7479"/>
      <sz val="10"/>
      <name val="Lato"/>
    </font>
    <font>
      <color rgb="FF23555A"/>
      <sz val="10"/>
      <name val="Lato"/>
    </font>
    <font>
      <b/>
      <color rgb="FFFFFFFF"/>
      <sz val="12"/>
      <name val="Lato"/>
    </font>
    <font>
      <b/>
      <sz val="11"/>
      <name val="Lato"/>
    </font>
    <font>
      <color rgb="FF6E7479"/>
      <sz val="10"/>
      <name val="Lato"/>
    </font>
    <font>
      <i/>
      <color rgb="FF6E7479"/>
      <sz val="9"/>
      <name val="Lato"/>
    </font>
    <font>
      <color rgb="FF6E7479"/>
      <sz val="11"/>
      <name val="Lato"/>
    </font>
    <font>
      <b/>
      <color rgb="FF2A4E64"/>
      <sz val="10"/>
      <name val="Lato"/>
    </font>
    <font>
      <b/>
      <color rgb="FF23555A"/>
      <sz val="16"/>
      <name val="Lato"/>
    </font>
    <font>
      <b/>
      <color rgb="FFFFFFFF"/>
      <sz val="11"/>
      <name val="Lato"/>
    </font>
    <font>
      <color rgb="FF6E7479"/>
    </font>
    <font>
      <b/>
      <color rgb="FF2A4E64"/>
    </font>
    <font>
      <b/>
      <color rgb="FFED835E"/>
    </font>
    <font>
      <b/>
      <color rgb="FFFFFFFF"/>
    </font>
    <font>
      <b/>
      <color rgb="FF23555A"/>
      <sz val="14"/>
      <name val="Lato"/>
    </font>
    <font>
      <b/>
      <color rgb="FFFFFFFF"/>
      <sz val="10"/>
      <name val="Lato"/>
    </font>
    <font>
      <color rgb="FFED835E"/>
    </font>
    <font>
      <b/>
      <color rgb="FF23555A"/>
      <sz val="12"/>
      <name val="Lato"/>
    </font>
    <font>
      <sz val="10"/>
      <name val="Lato"/>
    </font>
    <font>
      <u/>
      <color rgb="FF23555A"/>
      <sz val="9"/>
    </font>
    <font>
      <i/>
      <color rgb="FF6E7479"/>
      <sz val="10"/>
    </font>
  </fonts>
  <fills count="6">
    <fill>
      <patternFill patternType="none"/>
    </fill>
    <fill>
      <patternFill patternType="gray125"/>
    </fill>
    <fill>
      <patternFill patternType="solid">
        <fgColor rgb="FF23555A"/>
      </patternFill>
    </fill>
    <fill>
      <patternFill patternType="solid">
        <fgColor rgb="FFFEE2D6"/>
      </patternFill>
    </fill>
    <fill>
      <patternFill patternType="solid">
        <fgColor rgb="FFEFF1F2"/>
      </patternFill>
    </fill>
    <fill>
      <patternFill patternType="solid">
        <fgColor rgb="FF2A4E64"/>
      </patternFill>
    </fill>
  </fills>
  <borders count="2">
    <border>
      <left/>
      <right/>
      <top/>
      <bottom/>
      <diagonal/>
    </border>
    <border>
      <left style="thin">
        <color rgb="FFED835E"/>
      </left>
      <right style="thin">
        <color rgb="FFED835E"/>
      </right>
      <top style="thin">
        <color rgb="FFED835E"/>
      </top>
      <bottom style="thin">
        <color rgb="FFED835E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6" fillId="0" borderId="0" xfId="0" applyFont="1"/>
    <xf numFmtId="0" fontId="8" fillId="2" borderId="0" xfId="0" applyFont="1" applyFill="1" applyAlignment="1">
      <alignment vertical="center"/>
    </xf>
    <xf numFmtId="0" fontId="4" fillId="0" borderId="0" xfId="0" applyFont="1"/>
    <xf numFmtId="0" fontId="9" fillId="3" borderId="1" xfId="0" applyFont="1" applyFill="1" applyBorder="1" applyAlignment="1">
      <alignment horizontal="right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horizontal="right"/>
    </xf>
    <xf numFmtId="9" fontId="9" fillId="3" borderId="1" xfId="0" applyNumberFormat="1" applyFont="1" applyFill="1" applyBorder="1" applyAlignment="1">
      <alignment horizontal="right"/>
    </xf>
    <xf numFmtId="2" fontId="9" fillId="3" borderId="1" xfId="0" applyNumberFormat="1" applyFont="1" applyFill="1" applyBorder="1" applyAlignment="1">
      <alignment horizontal="right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9" fontId="9" fillId="0" borderId="0" xfId="0" applyNumberFormat="1" applyFont="1" applyAlignment="1">
      <alignment horizontal="right"/>
    </xf>
    <xf numFmtId="164" fontId="9" fillId="3" borderId="1" xfId="0" applyNumberFormat="1" applyFont="1" applyFill="1" applyBorder="1" applyAlignment="1">
      <alignment horizontal="right"/>
    </xf>
    <xf numFmtId="0" fontId="14" fillId="0" borderId="0" xfId="0" applyFont="1"/>
    <xf numFmtId="0" fontId="15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right"/>
    </xf>
    <xf numFmtId="165" fontId="16" fillId="0" borderId="0" xfId="0" applyNumberFormat="1" applyFont="1" applyAlignment="1">
      <alignment horizontal="right"/>
    </xf>
    <xf numFmtId="165" fontId="17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18" fillId="0" borderId="0" xfId="0" applyNumberFormat="1" applyFont="1" applyAlignment="1">
      <alignment horizontal="right"/>
    </xf>
    <xf numFmtId="0" fontId="19" fillId="5" borderId="0" xfId="0" applyFont="1" applyFill="1" applyAlignment="1">
      <alignment horizontal="right"/>
    </xf>
    <xf numFmtId="164" fontId="19" fillId="5" borderId="0" xfId="0" applyNumberFormat="1" applyFont="1" applyFill="1" applyAlignment="1">
      <alignment horizontal="right"/>
    </xf>
    <xf numFmtId="164" fontId="18" fillId="5" borderId="0" xfId="0" applyNumberFormat="1" applyFont="1" applyFill="1" applyAlignment="1">
      <alignment horizontal="right"/>
    </xf>
    <xf numFmtId="165" fontId="18" fillId="0" borderId="0" xfId="0" applyNumberFormat="1" applyFont="1" applyAlignment="1">
      <alignment horizontal="right"/>
    </xf>
    <xf numFmtId="0" fontId="20" fillId="0" borderId="0" xfId="0" applyFont="1"/>
    <xf numFmtId="0" fontId="21" fillId="2" borderId="0" xfId="0" applyFont="1" applyFill="1" applyAlignment="1">
      <alignment horizontal="center" wrapText="1"/>
    </xf>
    <xf numFmtId="166" fontId="0" fillId="0" borderId="0" xfId="0" applyNumberFormat="1"/>
    <xf numFmtId="9" fontId="0" fillId="0" borderId="0" xfId="0" applyNumberFormat="1"/>
    <xf numFmtId="9" fontId="18" fillId="0" borderId="0" xfId="0" applyNumberFormat="1" applyFont="1"/>
    <xf numFmtId="9" fontId="22" fillId="0" borderId="0" xfId="0" applyNumberFormat="1" applyFont="1"/>
    <xf numFmtId="0" fontId="11" fillId="0" borderId="0" xfId="0" applyFont="1" applyAlignment="1">
      <alignment horizontal="right"/>
    </xf>
    <xf numFmtId="165" fontId="10" fillId="0" borderId="0" xfId="0" applyNumberFormat="1" applyFont="1"/>
    <xf numFmtId="9" fontId="10" fillId="0" borderId="0" xfId="0" applyNumberFormat="1" applyFont="1"/>
    <xf numFmtId="0" fontId="23" fillId="0" borderId="0" xfId="0" applyFont="1"/>
    <xf numFmtId="9" fontId="18" fillId="0" borderId="0" xfId="0" applyNumberFormat="1" applyFont="1" applyAlignment="1">
      <alignment horizontal="right"/>
    </xf>
    <xf numFmtId="9" fontId="16" fillId="0" borderId="0" xfId="0" applyNumberFormat="1" applyFont="1" applyAlignment="1">
      <alignment horizontal="right"/>
    </xf>
    <xf numFmtId="0" fontId="15" fillId="2" borderId="0" xfId="0" applyFont="1" applyFill="1"/>
    <xf numFmtId="0" fontId="18" fillId="0" borderId="0" xfId="0" applyFont="1"/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6" fillId="0" borderId="0" xfId="0" applyFont="1"/>
  </cellXfs>
  <cellStyles count="1">
    <cellStyle name="Normal" xfId="0" builtinId="0"/>
  </cellStyles>
  <dxfs count="1">
    <dxf>
      <font>
        <b/>
        <color rgb="FFB03A1A"/>
      </font>
      <fill>
        <patternFill patternType="solid">
          <bgColor rgb="FFF8C9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ls.gov/oes/current/oes_nat.htm" TargetMode="External"/><Relationship Id="rId2" Type="http://schemas.openxmlformats.org/officeDocument/2006/relationships/hyperlink" Target="https://www.bls.gov/news.release/ecec.htm" TargetMode="External"/><Relationship Id="rId3" Type="http://schemas.openxmlformats.org/officeDocument/2006/relationships/hyperlink" Target="https://insights.tetakawi.com/manufacturing-wages-in-mexico-2025-2026-executive-benchmark-guide" TargetMode="External"/><Relationship Id="rId4" Type="http://schemas.openxmlformats.org/officeDocument/2006/relationships/hyperlink" Target="https://www.bcg.com/publications/2024/shifting-dynamics-of-nearshoring-in-mexico" TargetMode="External"/><Relationship Id="rId5" Type="http://schemas.openxmlformats.org/officeDocument/2006/relationships/hyperlink" Target="https://www.reshorenow.org/tco-estimator/" TargetMode="External"/><Relationship Id="rId6" Type="http://schemas.openxmlformats.org/officeDocument/2006/relationships/hyperlink" Target="https://reshorenow.org/june-9-2025/" TargetMode="External"/><Relationship Id="rId7" Type="http://schemas.openxmlformats.org/officeDocument/2006/relationships/hyperlink" Target="https://www.kearney.com/service/operations-performance/us-reshoring-index" TargetMode="External"/><Relationship Id="rId8" Type="http://schemas.openxmlformats.org/officeDocument/2006/relationships/hyperlink" Target="https://ustr.gov/issue-areas/enforcement/section-301-investigations" TargetMode="External"/><Relationship Id="rId9" Type="http://schemas.openxmlformats.org/officeDocument/2006/relationships/hyperlink" Target="https://www.cbp.gov/trade/usmca" TargetMode="External"/><Relationship Id="rId10" Type="http://schemas.openxmlformats.org/officeDocument/2006/relationships/hyperlink" Target="https://www.cbp.gov/trade/programs-administration/entry-summary/232-tariffs-aluminum-and-steel-faqs" TargetMode="External"/><Relationship Id="rId11" Type="http://schemas.openxmlformats.org/officeDocument/2006/relationships/hyperlink" Target="https://www.chrobinson.com/en-us/resources/insights-and-advisories/north-america-freight-insights/apr-2025-freight-market-update/addl-supply-chain-updates/cross-border/" TargetMode="External"/><Relationship Id="rId12" Type="http://schemas.openxmlformats.org/officeDocument/2006/relationships/hyperlink" Target="https://www.cbp.gov/trade/programs-administration/customs-brokers/f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workbookViewId="0" showGridLines="0"/>
  </sheetViews>
  <sheetFormatPr defaultRowHeight="15" outlineLevelRow="0" outlineLevelCol="0" x14ac:dyDescent="55"/>
  <cols>
    <col min="1" max="1" width="12" customWidth="1"/>
    <col min="2" max="4" width="30" customWidth="1"/>
    <col min="5" max="5" width="12" customWidth="1"/>
  </cols>
  <sheetData>
    <row r="1" spans="1:5" x14ac:dyDescent="0.25">
      <c r="A1" s="1"/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2:4" x14ac:dyDescent="0.25">
      <c r="B4" s="2" t="s">
        <v>0</v>
      </c>
      <c r="C4" s="2"/>
      <c r="D4" s="2"/>
    </row>
    <row r="5" spans="2:4" x14ac:dyDescent="0.25">
      <c r="B5" s="3" t="s">
        <v>1</v>
      </c>
      <c r="C5" s="3"/>
      <c r="D5" s="3"/>
    </row>
    <row r="7" spans="2:4" x14ac:dyDescent="0.25">
      <c r="B7" s="4" t="s">
        <v>2</v>
      </c>
      <c r="C7" s="4"/>
      <c r="D7" s="4"/>
    </row>
    <row r="8" spans="2:4" x14ac:dyDescent="0.25">
      <c r="B8" s="5" t="s">
        <v>3</v>
      </c>
      <c r="C8" s="5"/>
      <c r="D8" s="5"/>
    </row>
    <row r="9" spans="2:4" x14ac:dyDescent="0.25">
      <c r="B9" s="5"/>
      <c r="C9" s="5"/>
      <c r="D9" s="5"/>
    </row>
    <row r="10" spans="2:4" x14ac:dyDescent="0.25">
      <c r="B10" s="5"/>
      <c r="C10" s="5"/>
      <c r="D10" s="5"/>
    </row>
    <row r="11" spans="2:4" x14ac:dyDescent="0.25">
      <c r="B11" s="5"/>
      <c r="C11" s="5"/>
      <c r="D11" s="5"/>
    </row>
    <row r="12" spans="2:4" x14ac:dyDescent="0.25">
      <c r="B12" s="5"/>
      <c r="C12" s="5"/>
      <c r="D12" s="5"/>
    </row>
    <row r="13" spans="2:4" x14ac:dyDescent="0.25">
      <c r="B13" s="5"/>
      <c r="C13" s="5"/>
      <c r="D13" s="5"/>
    </row>
    <row r="14" spans="2:4" x14ac:dyDescent="0.25">
      <c r="B14" s="5"/>
      <c r="C14" s="5"/>
      <c r="D14" s="5"/>
    </row>
    <row r="15" spans="2:4" x14ac:dyDescent="0.25">
      <c r="B15" s="5"/>
      <c r="C15" s="5"/>
      <c r="D15" s="5"/>
    </row>
    <row r="17" ht="35" customHeight="1" spans="2:4" x14ac:dyDescent="0.25">
      <c r="B17" s="6" t="s">
        <v>4</v>
      </c>
      <c r="C17" s="6"/>
      <c r="D17" s="6"/>
    </row>
    <row r="18" spans="2:4" x14ac:dyDescent="0.25">
      <c r="B18" s="6"/>
      <c r="C18" s="6"/>
      <c r="D18" s="6"/>
    </row>
    <row r="20" spans="2:4" x14ac:dyDescent="0.25">
      <c r="B20" s="7" t="s">
        <v>5</v>
      </c>
      <c r="C20" s="7"/>
      <c r="D20" s="7"/>
    </row>
    <row r="22" spans="2:4" x14ac:dyDescent="0.25">
      <c r="B22" s="8" t="s">
        <v>6</v>
      </c>
      <c r="C22" s="8"/>
      <c r="D22" s="8"/>
    </row>
    <row r="23" spans="2:4" x14ac:dyDescent="0.25">
      <c r="B23" s="8"/>
      <c r="C23" s="8"/>
      <c r="D23" s="8"/>
    </row>
    <row r="24" spans="2:4" x14ac:dyDescent="0.25">
      <c r="B24" s="8"/>
      <c r="C24" s="8"/>
      <c r="D24" s="8"/>
    </row>
  </sheetData>
  <mergeCells count="8">
    <mergeCell ref="A1:E2"/>
    <mergeCell ref="B4:D4"/>
    <mergeCell ref="B5:D5"/>
    <mergeCell ref="B7:D7"/>
    <mergeCell ref="B8:D15"/>
    <mergeCell ref="B17:D18"/>
    <mergeCell ref="B20:D20"/>
    <mergeCell ref="B22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42" customWidth="1"/>
    <col min="3" max="3" width="16" customWidth="1"/>
    <col min="4" max="4" width="12" customWidth="1"/>
    <col min="5" max="5" width="62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2:5" x14ac:dyDescent="0.25">
      <c r="B2" s="9" t="s">
        <v>12</v>
      </c>
      <c r="C2" s="9"/>
      <c r="D2" s="9"/>
      <c r="E2" s="9"/>
    </row>
    <row r="4" ht="22" customHeight="1" spans="2:5" x14ac:dyDescent="0.25">
      <c r="B4" s="10" t="s">
        <v>13</v>
      </c>
      <c r="C4" s="10"/>
      <c r="D4" s="10"/>
      <c r="E4" s="10"/>
    </row>
    <row r="5" spans="2:5" x14ac:dyDescent="0.25">
      <c r="B5" s="11" t="s">
        <v>14</v>
      </c>
      <c r="C5" s="12">
        <v>24.37</v>
      </c>
      <c r="D5" s="13" t="s">
        <v>15</v>
      </c>
      <c r="E5" s="14" t="s">
        <v>16</v>
      </c>
    </row>
    <row r="6" spans="2:5" x14ac:dyDescent="0.25">
      <c r="B6" s="11" t="s">
        <v>17</v>
      </c>
      <c r="C6" s="15">
        <v>28.24</v>
      </c>
      <c r="D6" s="13" t="s">
        <v>15</v>
      </c>
      <c r="E6" s="14" t="s">
        <v>18</v>
      </c>
    </row>
    <row r="7" spans="2:5" x14ac:dyDescent="0.25">
      <c r="B7" s="11" t="s">
        <v>19</v>
      </c>
      <c r="C7" s="12">
        <v>49.25</v>
      </c>
      <c r="D7" s="13" t="s">
        <v>15</v>
      </c>
      <c r="E7" s="14" t="s">
        <v>20</v>
      </c>
    </row>
    <row r="8" spans="2:5" x14ac:dyDescent="0.25">
      <c r="B8" s="11" t="s">
        <v>21</v>
      </c>
      <c r="C8" s="12">
        <v>1.426</v>
      </c>
      <c r="D8" s="13" t="s">
        <v>22</v>
      </c>
      <c r="E8" s="14" t="s">
        <v>23</v>
      </c>
    </row>
    <row r="10" ht="22" customHeight="1" spans="2:5" x14ac:dyDescent="0.25">
      <c r="B10" s="10" t="s">
        <v>24</v>
      </c>
      <c r="C10" s="10"/>
      <c r="D10" s="10"/>
      <c r="E10" s="10"/>
    </row>
    <row r="11" spans="2:5" x14ac:dyDescent="0.25">
      <c r="B11" s="11" t="s">
        <v>25</v>
      </c>
      <c r="C11" s="12">
        <v>6.82</v>
      </c>
      <c r="D11" s="13" t="s">
        <v>15</v>
      </c>
      <c r="E11" s="14" t="s">
        <v>26</v>
      </c>
    </row>
    <row r="12" spans="2:5" x14ac:dyDescent="0.25">
      <c r="B12" s="11" t="s">
        <v>27</v>
      </c>
      <c r="C12" s="12">
        <v>23.42</v>
      </c>
      <c r="D12" s="13" t="s">
        <v>15</v>
      </c>
      <c r="E12" s="14" t="s">
        <v>26</v>
      </c>
    </row>
    <row r="13" spans="2:5" x14ac:dyDescent="0.25">
      <c r="B13" s="11" t="s">
        <v>28</v>
      </c>
      <c r="C13" s="15">
        <v>5.56</v>
      </c>
      <c r="D13" s="13" t="s">
        <v>15</v>
      </c>
      <c r="E13" s="14" t="s">
        <v>29</v>
      </c>
    </row>
    <row r="15" ht="22" customHeight="1" spans="2:5" x14ac:dyDescent="0.25">
      <c r="B15" s="10" t="s">
        <v>30</v>
      </c>
      <c r="C15" s="10"/>
      <c r="D15" s="10"/>
      <c r="E15" s="10"/>
    </row>
    <row r="16" spans="2:5" x14ac:dyDescent="0.25">
      <c r="B16" s="11" t="s">
        <v>31</v>
      </c>
      <c r="C16" s="16">
        <v>0.2</v>
      </c>
      <c r="D16" s="13" t="s">
        <v>32</v>
      </c>
      <c r="E16" s="14" t="s">
        <v>33</v>
      </c>
    </row>
    <row r="17" spans="2:5" x14ac:dyDescent="0.25">
      <c r="B17" s="11" t="s">
        <v>34</v>
      </c>
      <c r="C17" s="17">
        <v>1</v>
      </c>
      <c r="D17" s="13" t="s">
        <v>32</v>
      </c>
      <c r="E17" s="14" t="s">
        <v>35</v>
      </c>
    </row>
    <row r="18" spans="2:5" x14ac:dyDescent="0.25">
      <c r="B18" s="11" t="s">
        <v>36</v>
      </c>
      <c r="C18" s="12">
        <v>90</v>
      </c>
      <c r="D18" s="13" t="s">
        <v>15</v>
      </c>
      <c r="E18" s="14" t="s">
        <v>37</v>
      </c>
    </row>
    <row r="19" spans="2:5" x14ac:dyDescent="0.25">
      <c r="B19" s="11" t="s">
        <v>38</v>
      </c>
      <c r="C19" s="12">
        <v>60</v>
      </c>
      <c r="D19" s="13" t="s">
        <v>15</v>
      </c>
      <c r="E19" s="14" t="s">
        <v>39</v>
      </c>
    </row>
    <row r="21" ht="22" customHeight="1" spans="2:5" x14ac:dyDescent="0.25">
      <c r="B21" s="10" t="s">
        <v>40</v>
      </c>
      <c r="C21" s="10"/>
      <c r="D21" s="10"/>
      <c r="E21" s="10"/>
    </row>
    <row r="22" spans="2:5" x14ac:dyDescent="0.25">
      <c r="B22" s="18" t="s">
        <v>41</v>
      </c>
      <c r="C22" s="19" t="s">
        <v>42</v>
      </c>
      <c r="D22" s="19" t="s">
        <v>43</v>
      </c>
      <c r="E22" s="19" t="s">
        <v>44</v>
      </c>
    </row>
    <row r="23" spans="2:6" x14ac:dyDescent="0.25">
      <c r="B23" s="11" t="s">
        <v>45</v>
      </c>
      <c r="C23" s="16">
        <v>0.15</v>
      </c>
      <c r="D23" s="16">
        <v>0.25</v>
      </c>
      <c r="E23" s="16">
        <v>0.6</v>
      </c>
      <c r="F23" s="20">
        <f>IF(ABS(C23+D23+E23-1)&lt;0.005,"✓ 100%","⚠ "&amp;TEXT((C23+D23+E23),"0%"))</f>
      </c>
    </row>
    <row r="24" spans="2:6" x14ac:dyDescent="0.25">
      <c r="B24" s="11" t="s">
        <v>46</v>
      </c>
      <c r="C24" s="16">
        <v>0.28</v>
      </c>
      <c r="D24" s="16">
        <v>0.3</v>
      </c>
      <c r="E24" s="16">
        <v>0.42</v>
      </c>
      <c r="F24" s="20">
        <f>IF(ABS(C24+D24+E24-1)&lt;0.005,"✓ 100%","⚠ "&amp;TEXT((C24+D24+E24),"0%"))</f>
      </c>
    </row>
    <row r="25" spans="2:6" x14ac:dyDescent="0.25">
      <c r="B25" s="11" t="s">
        <v>47</v>
      </c>
      <c r="C25" s="16">
        <v>0.46</v>
      </c>
      <c r="D25" s="16">
        <v>0.32</v>
      </c>
      <c r="E25" s="16">
        <v>0.22</v>
      </c>
      <c r="F25" s="20">
        <f>IF(ABS(C25+D25+E25-1)&lt;0.005,"✓ 100%","⚠ "&amp;TEXT((C25+D25+E25),"0%"))</f>
      </c>
    </row>
    <row r="26" spans="2:5" x14ac:dyDescent="0.25">
      <c r="B26" s="20" t="s">
        <v>48</v>
      </c>
      <c r="C26" s="20"/>
      <c r="D26" s="20"/>
      <c r="E26" s="20"/>
    </row>
    <row r="28" ht="22" customHeight="1" spans="2:5" x14ac:dyDescent="0.25">
      <c r="B28" s="10" t="s">
        <v>49</v>
      </c>
      <c r="C28" s="10"/>
      <c r="D28" s="10"/>
      <c r="E28" s="10"/>
    </row>
    <row r="29" spans="2:5" x14ac:dyDescent="0.25">
      <c r="B29" s="11" t="s">
        <v>50</v>
      </c>
      <c r="C29" s="12">
        <v>1</v>
      </c>
      <c r="D29" s="13" t="s">
        <v>51</v>
      </c>
      <c r="E29" s="14" t="s">
        <v>52</v>
      </c>
    </row>
    <row r="30" spans="2:5" x14ac:dyDescent="0.25">
      <c r="B30" s="11" t="s">
        <v>53</v>
      </c>
      <c r="C30" s="12">
        <v>100</v>
      </c>
      <c r="D30" s="13" t="s">
        <v>54</v>
      </c>
      <c r="E30" s="14" t="s">
        <v>55</v>
      </c>
    </row>
    <row r="31" spans="2:5" x14ac:dyDescent="0.25">
      <c r="B31" s="11" t="s">
        <v>56</v>
      </c>
      <c r="C31" s="12">
        <v>100</v>
      </c>
      <c r="D31" s="13" t="s">
        <v>57</v>
      </c>
      <c r="E31" s="14" t="s">
        <v>58</v>
      </c>
    </row>
    <row r="32" spans="2:5" x14ac:dyDescent="0.25">
      <c r="B32" s="11" t="s">
        <v>59</v>
      </c>
      <c r="C32" s="12">
        <v>0.5</v>
      </c>
      <c r="D32" s="13" t="s">
        <v>51</v>
      </c>
      <c r="E32" s="14" t="s">
        <v>60</v>
      </c>
    </row>
    <row r="33" spans="2:5" x14ac:dyDescent="0.25">
      <c r="B33" s="11" t="s">
        <v>61</v>
      </c>
      <c r="C33" s="12">
        <v>100</v>
      </c>
      <c r="D33" s="13" t="s">
        <v>51</v>
      </c>
      <c r="E33" s="14" t="s">
        <v>62</v>
      </c>
    </row>
    <row r="34" spans="2:5" x14ac:dyDescent="0.25">
      <c r="B34" s="11" t="s">
        <v>63</v>
      </c>
      <c r="C34" s="12">
        <v>0</v>
      </c>
      <c r="D34" s="13" t="s">
        <v>54</v>
      </c>
      <c r="E34" s="14" t="s">
        <v>64</v>
      </c>
    </row>
    <row r="36" ht="22" customHeight="1" spans="2:5" x14ac:dyDescent="0.25">
      <c r="B36" s="10" t="s">
        <v>65</v>
      </c>
      <c r="C36" s="10"/>
      <c r="D36" s="10"/>
      <c r="E36" s="10"/>
    </row>
    <row r="37" spans="2:5" x14ac:dyDescent="0.25">
      <c r="B37" s="11" t="s">
        <v>66</v>
      </c>
      <c r="C37" s="16">
        <v>0</v>
      </c>
      <c r="D37" s="13" t="s">
        <v>67</v>
      </c>
      <c r="E37" s="14" t="s">
        <v>68</v>
      </c>
    </row>
    <row r="38" spans="2:5" x14ac:dyDescent="0.25">
      <c r="B38" s="11" t="s">
        <v>69</v>
      </c>
      <c r="C38" s="16">
        <v>0.35</v>
      </c>
      <c r="D38" s="13" t="s">
        <v>67</v>
      </c>
      <c r="E38" s="14" t="s">
        <v>70</v>
      </c>
    </row>
    <row r="39" spans="2:5" x14ac:dyDescent="0.25">
      <c r="B39" s="11" t="s">
        <v>71</v>
      </c>
      <c r="C39" s="16">
        <v>0</v>
      </c>
      <c r="D39" s="13" t="s">
        <v>67</v>
      </c>
      <c r="E39" s="14" t="s">
        <v>72</v>
      </c>
    </row>
    <row r="41" ht="22" customHeight="1" spans="2:5" x14ac:dyDescent="0.25">
      <c r="B41" s="10" t="s">
        <v>73</v>
      </c>
      <c r="C41" s="10"/>
      <c r="D41" s="10"/>
      <c r="E41" s="10"/>
    </row>
    <row r="42" spans="2:5" x14ac:dyDescent="0.25">
      <c r="B42" s="11" t="s">
        <v>74</v>
      </c>
      <c r="C42" s="16">
        <v>0.25</v>
      </c>
      <c r="D42" s="13" t="s">
        <v>75</v>
      </c>
      <c r="E42" s="14" t="s">
        <v>76</v>
      </c>
    </row>
    <row r="43" spans="2:5" x14ac:dyDescent="0.25">
      <c r="B43" s="11" t="s">
        <v>77</v>
      </c>
      <c r="C43" s="16">
        <v>0.5</v>
      </c>
      <c r="D43" s="13" t="s">
        <v>75</v>
      </c>
      <c r="E43" s="14" t="s">
        <v>76</v>
      </c>
    </row>
    <row r="44" spans="2:5" x14ac:dyDescent="0.25">
      <c r="B44" s="11" t="s">
        <v>78</v>
      </c>
      <c r="C44" s="16">
        <v>0.25</v>
      </c>
      <c r="D44" s="13" t="s">
        <v>75</v>
      </c>
      <c r="E44" s="14" t="s">
        <v>76</v>
      </c>
    </row>
    <row r="45" spans="2:5" x14ac:dyDescent="0.25">
      <c r="B45" s="21" t="s">
        <v>79</v>
      </c>
      <c r="C45" s="22">
        <f>C42+C43+C44</f>
      </c>
      <c r="D45" s="13" t="s">
        <v>67</v>
      </c>
      <c r="E45" s="20">
        <f>IF(ABS(C45-1)&lt;0.005,"✓ OK","⚠ Adjust shares to total 100%")</f>
      </c>
    </row>
    <row r="46" spans="2:5" x14ac:dyDescent="0.25">
      <c r="B46" s="11" t="s">
        <v>80</v>
      </c>
      <c r="C46" s="23">
        <v>500000</v>
      </c>
      <c r="D46" s="13" t="s">
        <v>81</v>
      </c>
      <c r="E46" s="14" t="s">
        <v>82</v>
      </c>
    </row>
  </sheetData>
  <mergeCells count="9">
    <mergeCell ref="B2:E2"/>
    <mergeCell ref="B4:E4"/>
    <mergeCell ref="B10:E10"/>
    <mergeCell ref="B15:E15"/>
    <mergeCell ref="B21:E21"/>
    <mergeCell ref="B26:E26"/>
    <mergeCell ref="B28:E28"/>
    <mergeCell ref="B36:E36"/>
    <mergeCell ref="B41:E41"/>
  </mergeCells>
  <conditionalFormatting sqref="C45">
    <cfRule type="expression" dxfId="0" priority="1">
      <formula>ABS($C$45-1)&gt;=0.005</formula>
    </cfRule>
  </conditionalFormatting>
  <dataValidations count="5">
    <dataValidation type="decimal" showErrorMessage="1" errorTitle="Out of range" error="Enter a value between 0 and 1 (e.g. 0.25 = 25%)." sqref="C16">
      <formula1>0</formula1>
      <formula2>1</formula2>
    </dataValidation>
    <dataValidation type="decimal" showErrorMessage="1" errorTitle="Out of range" error="Enter a ratio (e.g. 1.00 = parity, 1.15 = +15%)." sqref="C17">
      <formula1>0</formula1>
      <formula2>2</formula2>
    </dataValidation>
    <dataValidation type="decimal" showErrorMessage="1" errorTitle="Out of range" error="Enter a value between 0 and 1 (e.g. 0.25 = 25%)." sqref="C23:E25">
      <formula1>0</formula1>
      <formula2>1</formula2>
    </dataValidation>
    <dataValidation type="decimal" showErrorMessage="1" errorTitle="Out of range" error="Enter a value between 0 and 1 (e.g. 0.25 = 25%)." sqref="C37:C39">
      <formula1>0</formula1>
      <formula2>1</formula2>
    </dataValidation>
    <dataValidation type="decimal" showErrorMessage="1" errorTitle="Out of range" error="Enter a value between 0 and 1 (e.g. 0.25 = 25%)." sqref="C42:C44">
      <formula1>0</formula1>
      <formula2>1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5" width="16" customWidth="1"/>
    <col min="6" max="6" width="15" customWidth="1"/>
    <col min="7" max="7" width="16" customWidth="1"/>
  </cols>
  <sheetData>
    <row r="1" spans="1:7" x14ac:dyDescent="0.25">
      <c r="A1" t="s">
        <v>7</v>
      </c>
      <c r="B1" t="s">
        <v>41</v>
      </c>
      <c r="C1" t="s">
        <v>83</v>
      </c>
      <c r="D1" t="s">
        <v>84</v>
      </c>
      <c r="E1" t="s">
        <v>85</v>
      </c>
      <c r="F1" t="s">
        <v>86</v>
      </c>
      <c r="G1" t="s">
        <v>87</v>
      </c>
    </row>
    <row r="2" spans="2:7" x14ac:dyDescent="0.25">
      <c r="B2" s="24" t="s">
        <v>88</v>
      </c>
      <c r="C2" s="24"/>
      <c r="D2" s="24"/>
      <c r="E2" s="24"/>
      <c r="F2" s="24"/>
      <c r="G2" s="24"/>
    </row>
    <row r="3" spans="2:7" x14ac:dyDescent="0.25">
      <c r="B3" s="9" t="s">
        <v>89</v>
      </c>
      <c r="C3" s="9"/>
      <c r="D3" s="9"/>
      <c r="E3" s="9"/>
      <c r="F3" s="9"/>
      <c r="G3" s="9"/>
    </row>
    <row r="5" ht="30" customHeight="1" spans="2:7" x14ac:dyDescent="0.25">
      <c r="B5" s="25" t="s">
        <v>41</v>
      </c>
      <c r="C5" s="25" t="s">
        <v>83</v>
      </c>
      <c r="D5" s="25" t="s">
        <v>84</v>
      </c>
      <c r="E5" s="25" t="s">
        <v>85</v>
      </c>
      <c r="F5" s="25" t="s">
        <v>86</v>
      </c>
      <c r="G5" s="25" t="s">
        <v>87</v>
      </c>
    </row>
    <row r="6" spans="2:7" x14ac:dyDescent="0.25">
      <c r="B6" s="21" t="s">
        <v>45</v>
      </c>
      <c r="C6" s="26">
        <f>Inputs!C23*$G$18 + Inputs!D23*Inputs!C16 + Inputs!E23*(1-Inputs!C17)</f>
      </c>
      <c r="D6" s="27">
        <f>$G$21</f>
      </c>
      <c r="E6" s="28">
        <f>C6-D6</f>
      </c>
      <c r="F6" s="29">
        <f>Inputs!C46*Inputs!C42</f>
      </c>
      <c r="G6" s="30">
        <f>F6*E6</f>
      </c>
    </row>
    <row r="7" spans="2:7" x14ac:dyDescent="0.25">
      <c r="B7" s="21" t="s">
        <v>46</v>
      </c>
      <c r="C7" s="26">
        <f>Inputs!C24*$G$18 + Inputs!D24*Inputs!C16 + Inputs!E24*(1-Inputs!C17)</f>
      </c>
      <c r="D7" s="27">
        <f>$G$21</f>
      </c>
      <c r="E7" s="28">
        <f>C7-D7</f>
      </c>
      <c r="F7" s="29">
        <f>Inputs!C46*Inputs!C43</f>
      </c>
      <c r="G7" s="30">
        <f>F7*E7</f>
      </c>
    </row>
    <row r="8" spans="2:7" x14ac:dyDescent="0.25">
      <c r="B8" s="21" t="s">
        <v>47</v>
      </c>
      <c r="C8" s="26">
        <f>Inputs!C25*$G$18 + Inputs!D25*Inputs!C16 + Inputs!E25*(1-Inputs!C17)</f>
      </c>
      <c r="D8" s="27">
        <f>$G$21</f>
      </c>
      <c r="E8" s="28">
        <f>C8-D8</f>
      </c>
      <c r="F8" s="29">
        <f>Inputs!C46*Inputs!C44</f>
      </c>
      <c r="G8" s="30">
        <f>F8*E8</f>
      </c>
    </row>
    <row r="10" ht="24" customHeight="1" spans="2:7" x14ac:dyDescent="0.25">
      <c r="B10" s="31" t="s">
        <v>90</v>
      </c>
      <c r="C10" s="31"/>
      <c r="D10" s="31"/>
      <c r="E10" s="31"/>
      <c r="F10" s="32">
        <f>SUM(F6:F8)</f>
      </c>
      <c r="G10" s="33">
        <f>SUM(G6:G8)</f>
      </c>
    </row>
    <row r="11" spans="2:6" x14ac:dyDescent="0.25">
      <c r="B11" s="21" t="s">
        <v>91</v>
      </c>
      <c r="F11" s="34">
        <f>G10/F10</f>
      </c>
    </row>
    <row r="13" spans="2:7" x14ac:dyDescent="0.25">
      <c r="B13" s="14" t="s">
        <v>92</v>
      </c>
      <c r="C13" s="14"/>
      <c r="D13" s="14"/>
      <c r="E13" s="14"/>
      <c r="F13" s="14"/>
      <c r="G13" s="14"/>
    </row>
    <row r="14" spans="2:7" x14ac:dyDescent="0.25">
      <c r="B14" s="14"/>
      <c r="C14" s="14"/>
      <c r="D14" s="14"/>
      <c r="E14" s="14"/>
      <c r="F14" s="14"/>
      <c r="G14" s="14"/>
    </row>
    <row r="16" spans="2:7" x14ac:dyDescent="0.25">
      <c r="B16" s="35" t="s">
        <v>93</v>
      </c>
      <c r="C16" s="35"/>
      <c r="D16" s="35"/>
      <c r="E16" s="35"/>
      <c r="F16" s="35"/>
      <c r="G16" s="35"/>
    </row>
    <row r="17" spans="2:7" x14ac:dyDescent="0.25">
      <c r="B17" s="36" t="s">
        <v>94</v>
      </c>
      <c r="C17" s="36" t="s">
        <v>95</v>
      </c>
      <c r="D17" s="36" t="s">
        <v>96</v>
      </c>
      <c r="E17" s="36" t="s">
        <v>97</v>
      </c>
      <c r="F17" s="36" t="s">
        <v>98</v>
      </c>
      <c r="G17" s="36" t="s">
        <v>99</v>
      </c>
    </row>
    <row r="18" spans="2:7" x14ac:dyDescent="0.25">
      <c r="B18" s="11" t="s">
        <v>100</v>
      </c>
      <c r="C18" s="37">
        <f>Inputs!C5</f>
      </c>
      <c r="D18" s="37">
        <f>Inputs!C5*Inputs!C8</f>
      </c>
      <c r="E18" s="37">
        <f>Inputs!C11</f>
      </c>
      <c r="F18" s="38">
        <f>E18/D18</f>
      </c>
      <c r="G18" s="39">
        <f>1-F18</f>
      </c>
    </row>
    <row r="19" spans="2:7" x14ac:dyDescent="0.25">
      <c r="B19" s="11" t="s">
        <v>101</v>
      </c>
      <c r="C19" s="37">
        <f>Inputs!C7</f>
      </c>
      <c r="D19" s="37">
        <f>Inputs!C7*Inputs!C8</f>
      </c>
      <c r="E19" s="37">
        <f>Inputs!C12</f>
      </c>
      <c r="F19" s="38">
        <f>E19/D19</f>
      </c>
      <c r="G19" s="40">
        <f>1-F19</f>
      </c>
    </row>
    <row r="20" spans="2:7" x14ac:dyDescent="0.25">
      <c r="B20" s="14" t="s">
        <v>102</v>
      </c>
      <c r="C20" s="14"/>
      <c r="D20" s="14"/>
      <c r="E20" s="14"/>
      <c r="F20" s="14"/>
      <c r="G20" s="14"/>
    </row>
    <row r="21" spans="6:7" x14ac:dyDescent="0.25">
      <c r="F21" s="41" t="s">
        <v>103</v>
      </c>
      <c r="G21" s="42">
        <f>(Inputs!C29 + (Inputs!C30+Inputs!C34)/Inputs!C31 + Inputs!C32)/Inputs!C33</f>
      </c>
    </row>
    <row r="22" spans="2:7" x14ac:dyDescent="0.25">
      <c r="B22" s="13" t="s">
        <v>104</v>
      </c>
      <c r="F22" s="41" t="s">
        <v>105</v>
      </c>
      <c r="G22" s="43">
        <f>1-Inputs!C19/Inputs!C18</f>
      </c>
    </row>
    <row r="24" spans="2:7" x14ac:dyDescent="0.25">
      <c r="B24" s="44" t="s">
        <v>106</v>
      </c>
      <c r="C24" s="44"/>
      <c r="D24" s="44"/>
      <c r="E24" s="44"/>
      <c r="F24" s="44"/>
      <c r="G24" s="44"/>
    </row>
    <row r="25" spans="2:7" x14ac:dyDescent="0.25">
      <c r="B25" s="11" t="s">
        <v>107</v>
      </c>
      <c r="G25" s="45">
        <f>Inputs!C38-Inputs!C37</f>
      </c>
    </row>
    <row r="26" spans="2:7" x14ac:dyDescent="0.25">
      <c r="B26" s="11" t="s">
        <v>108</v>
      </c>
      <c r="G26" s="46">
        <f>Inputs!C37-Inputs!C39</f>
      </c>
    </row>
    <row r="27" spans="2:7" x14ac:dyDescent="0.25">
      <c r="B27" s="14" t="s">
        <v>109</v>
      </c>
      <c r="C27" s="14"/>
      <c r="D27" s="14"/>
      <c r="E27" s="14"/>
      <c r="F27" s="14"/>
      <c r="G27" s="14"/>
    </row>
    <row r="28" spans="2:7" x14ac:dyDescent="0.25">
      <c r="B28" s="14"/>
      <c r="C28" s="14"/>
      <c r="D28" s="14"/>
      <c r="E28" s="14"/>
      <c r="F28" s="14"/>
      <c r="G28" s="14"/>
    </row>
  </sheetData>
  <mergeCells count="8">
    <mergeCell ref="B2:G2"/>
    <mergeCell ref="B3:G3"/>
    <mergeCell ref="B10:E10"/>
    <mergeCell ref="B13:G14"/>
    <mergeCell ref="B16:G16"/>
    <mergeCell ref="B20:G20"/>
    <mergeCell ref="B24:G24"/>
    <mergeCell ref="B27:G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" customWidth="1"/>
    <col min="3" max="3" width="58" customWidth="1"/>
    <col min="4" max="4" width="70" customWidth="1"/>
    <col min="5" max="5" width="24" customWidth="1"/>
  </cols>
  <sheetData>
    <row r="1" spans="1:5" x14ac:dyDescent="0.25">
      <c r="A1" t="s">
        <v>7</v>
      </c>
      <c r="B1" t="s">
        <v>110</v>
      </c>
      <c r="C1" t="s">
        <v>111</v>
      </c>
      <c r="D1" t="s">
        <v>112</v>
      </c>
      <c r="E1" t="s">
        <v>113</v>
      </c>
    </row>
    <row r="2" spans="2:5" x14ac:dyDescent="0.25">
      <c r="B2" s="24" t="s">
        <v>114</v>
      </c>
      <c r="C2" s="24"/>
      <c r="D2" s="24"/>
      <c r="E2" s="24"/>
    </row>
    <row r="3" spans="2:5" x14ac:dyDescent="0.25">
      <c r="B3" s="9" t="s">
        <v>115</v>
      </c>
      <c r="C3" s="9"/>
      <c r="D3" s="9"/>
      <c r="E3" s="9"/>
    </row>
    <row r="5" spans="2:5" x14ac:dyDescent="0.25">
      <c r="B5" s="47" t="s">
        <v>110</v>
      </c>
      <c r="C5" s="47" t="s">
        <v>111</v>
      </c>
      <c r="D5" s="47" t="s">
        <v>112</v>
      </c>
      <c r="E5" s="47" t="s">
        <v>113</v>
      </c>
    </row>
    <row r="6" spans="2:5" x14ac:dyDescent="0.25">
      <c r="B6" s="48" t="s">
        <v>116</v>
      </c>
      <c r="C6" s="49" t="s">
        <v>117</v>
      </c>
      <c r="D6" s="50" t="s">
        <v>118</v>
      </c>
      <c r="E6" s="51" t="s">
        <v>119</v>
      </c>
    </row>
    <row r="7" spans="2:5" x14ac:dyDescent="0.25">
      <c r="B7" s="48" t="s">
        <v>120</v>
      </c>
      <c r="C7" s="49" t="s">
        <v>121</v>
      </c>
      <c r="D7" s="50" t="s">
        <v>122</v>
      </c>
      <c r="E7" s="51" t="s">
        <v>123</v>
      </c>
    </row>
    <row r="8" spans="2:5" x14ac:dyDescent="0.25">
      <c r="B8" s="48" t="s">
        <v>124</v>
      </c>
      <c r="C8" s="49" t="s">
        <v>125</v>
      </c>
      <c r="D8" s="50" t="s">
        <v>126</v>
      </c>
      <c r="E8" s="51" t="s">
        <v>127</v>
      </c>
    </row>
    <row r="9" spans="2:5" x14ac:dyDescent="0.25">
      <c r="B9" s="48" t="s">
        <v>128</v>
      </c>
      <c r="C9" s="49" t="s">
        <v>129</v>
      </c>
      <c r="D9" s="50" t="s">
        <v>130</v>
      </c>
      <c r="E9" s="51" t="s">
        <v>131</v>
      </c>
    </row>
    <row r="10" spans="2:5" x14ac:dyDescent="0.25">
      <c r="B10" s="48" t="s">
        <v>132</v>
      </c>
      <c r="C10" s="49" t="s">
        <v>133</v>
      </c>
      <c r="D10" s="50" t="s">
        <v>134</v>
      </c>
      <c r="E10" s="51" t="s">
        <v>135</v>
      </c>
    </row>
    <row r="11" spans="2:5" x14ac:dyDescent="0.25">
      <c r="B11" s="48" t="s">
        <v>136</v>
      </c>
      <c r="C11" s="49" t="s">
        <v>137</v>
      </c>
      <c r="D11" s="50" t="s">
        <v>138</v>
      </c>
      <c r="E11" s="51" t="s">
        <v>139</v>
      </c>
    </row>
    <row r="12" spans="2:5" x14ac:dyDescent="0.25">
      <c r="B12" s="48" t="s">
        <v>140</v>
      </c>
      <c r="C12" s="49" t="s">
        <v>141</v>
      </c>
      <c r="D12" s="50" t="s">
        <v>142</v>
      </c>
      <c r="E12" s="51" t="s">
        <v>143</v>
      </c>
    </row>
    <row r="13" spans="2:5" x14ac:dyDescent="0.25">
      <c r="B13" s="48" t="s">
        <v>144</v>
      </c>
      <c r="C13" s="49" t="s">
        <v>145</v>
      </c>
      <c r="D13" s="50" t="s">
        <v>146</v>
      </c>
      <c r="E13" s="51" t="s">
        <v>147</v>
      </c>
    </row>
    <row r="14" spans="2:5" x14ac:dyDescent="0.25">
      <c r="B14" s="48" t="s">
        <v>148</v>
      </c>
      <c r="C14" s="49" t="s">
        <v>149</v>
      </c>
      <c r="D14" s="50" t="s">
        <v>150</v>
      </c>
      <c r="E14" s="51" t="s">
        <v>151</v>
      </c>
    </row>
    <row r="15" spans="2:5" x14ac:dyDescent="0.25">
      <c r="B15" s="48" t="s">
        <v>152</v>
      </c>
      <c r="C15" s="49" t="s">
        <v>153</v>
      </c>
      <c r="D15" s="50" t="s">
        <v>154</v>
      </c>
      <c r="E15" s="51" t="s">
        <v>147</v>
      </c>
    </row>
    <row r="16" spans="2:5" x14ac:dyDescent="0.25">
      <c r="B16" s="48" t="s">
        <v>155</v>
      </c>
      <c r="C16" s="49" t="s">
        <v>156</v>
      </c>
      <c r="D16" s="50" t="s">
        <v>157</v>
      </c>
      <c r="E16" s="51" t="s">
        <v>158</v>
      </c>
    </row>
    <row r="17" spans="2:5" x14ac:dyDescent="0.25">
      <c r="B17" s="48" t="s">
        <v>159</v>
      </c>
      <c r="C17" s="49" t="s">
        <v>160</v>
      </c>
      <c r="D17" s="50" t="s">
        <v>161</v>
      </c>
      <c r="E17" s="51" t="s">
        <v>162</v>
      </c>
    </row>
  </sheetData>
  <mergeCells count="2">
    <mergeCell ref="B2:E2"/>
    <mergeCell ref="B3:E3"/>
  </mergeCells>
  <hyperlinks>
    <hyperlink ref="D6" r:id="rId1"/>
    <hyperlink ref="D7" r:id="rId2"/>
    <hyperlink ref="D8" r:id="rId3"/>
    <hyperlink ref="D9" r:id="rId4"/>
    <hyperlink ref="D10" r:id="rId5"/>
    <hyperlink ref="D11" r:id="rId6"/>
    <hyperlink ref="D12" r:id="rId7"/>
    <hyperlink ref="D13" r:id="rId8"/>
    <hyperlink ref="D14" r:id="rId9"/>
    <hyperlink ref="D15" r:id="rId10"/>
    <hyperlink ref="D16" r:id="rId11"/>
    <hyperlink ref="D17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Inputs</vt:lpstr>
      <vt:lpstr>Tier Analysis</vt:lpstr>
      <vt:lpstr>Sources</vt:lpstr>
    </vt:vector>
  </TitlesOfParts>
  <Company>Global Precision Works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 Precision Works</dc:creator>
  <dc:title>GPW CNC Cost Model 2026</dc:title>
  <dc:subject>Mexico vs U.S. CNC Manufacturing Total Landed Cost</dc:subject>
  <dc:description/>
  <cp:keywords/>
  <cp:category/>
  <cp:lastModifiedBy>GPW Cost Study 2026</cp:lastModifiedBy>
  <dcterms:created xsi:type="dcterms:W3CDTF">2026-06-12T17:35:17Z</dcterms:created>
  <dcterms:modified xsi:type="dcterms:W3CDTF">2026-06-12T17:35:17Z</dcterms:modified>
</cp:coreProperties>
</file>