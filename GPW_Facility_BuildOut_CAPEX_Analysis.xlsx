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46e38311c2ed0b/Desktop/GLOBAL PRECISION WORKS/08_Pagina Web/"/>
    </mc:Choice>
  </mc:AlternateContent>
  <xr:revisionPtr revIDLastSave="1" documentId="11_886849825A985220691FA6BDFE1C1159FE587691" xr6:coauthVersionLast="47" xr6:coauthVersionMax="47" xr10:uidLastSave="{0200903A-83AF-4F6F-8E1E-AEFE81874AEB}"/>
  <bookViews>
    <workbookView xWindow="-120" yWindow="-120" windowWidth="29040" windowHeight="15720" tabRatio="500" xr2:uid="{00000000-000D-0000-FFFF-FFFF00000000}"/>
  </bookViews>
  <sheets>
    <sheet name="Resumen Ejecutivo" sheetId="1" r:id="rId1"/>
    <sheet name="Benchmarks &amp; References" sheetId="2" r:id="rId2"/>
    <sheet name="Gap Analysi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8" i="1" l="1"/>
  <c r="E78" i="1"/>
  <c r="D78" i="1"/>
  <c r="C78" i="1"/>
  <c r="F70" i="1"/>
  <c r="E70" i="1"/>
  <c r="D70" i="1"/>
  <c r="C70" i="1"/>
  <c r="F65" i="1"/>
  <c r="E65" i="1"/>
  <c r="D65" i="1"/>
  <c r="C65" i="1"/>
  <c r="F61" i="1"/>
  <c r="E61" i="1"/>
  <c r="D61" i="1"/>
  <c r="C61" i="1"/>
  <c r="F53" i="1"/>
  <c r="E53" i="1"/>
  <c r="D53" i="1"/>
  <c r="C53" i="1"/>
  <c r="F46" i="1"/>
  <c r="E46" i="1"/>
  <c r="D46" i="1"/>
  <c r="C46" i="1"/>
  <c r="F37" i="1"/>
  <c r="E37" i="1"/>
  <c r="D37" i="1"/>
  <c r="C37" i="1"/>
  <c r="F31" i="1"/>
  <c r="E31" i="1"/>
  <c r="D31" i="1"/>
  <c r="C31" i="1"/>
  <c r="F24" i="1"/>
  <c r="F81" i="1" s="1"/>
  <c r="F83" i="1" s="1"/>
  <c r="E24" i="1"/>
  <c r="E81" i="1" s="1"/>
  <c r="E83" i="1" s="1"/>
  <c r="D24" i="1"/>
  <c r="D81" i="1" s="1"/>
  <c r="D83" i="1" s="1"/>
  <c r="D85" i="1" s="1"/>
  <c r="C24" i="1"/>
  <c r="C81" i="1" s="1"/>
  <c r="C83" i="1" s="1"/>
  <c r="C85" i="1" s="1"/>
  <c r="E85" i="1" l="1"/>
  <c r="F85" i="1"/>
  <c r="C87" i="1"/>
  <c r="C91" i="1"/>
  <c r="C92" i="1" s="1"/>
  <c r="D91" i="1"/>
  <c r="D92" i="1" s="1"/>
  <c r="D87" i="1"/>
  <c r="F91" i="1" l="1"/>
  <c r="F92" i="1" s="1"/>
  <c r="F87" i="1"/>
  <c r="E91" i="1"/>
  <c r="E92" i="1" s="1"/>
  <c r="E87" i="1"/>
</calcChain>
</file>

<file path=xl/sharedStrings.xml><?xml version="1.0" encoding="utf-8"?>
<sst xmlns="http://schemas.openxmlformats.org/spreadsheetml/2006/main" count="443" uniqueCount="324">
  <si>
    <t>GPW — Facility Build-Out CAPEX Analysis (v2 — Revised)</t>
  </si>
  <si>
    <t>Shell industrial ~5,000 m² (53,820 sq ft) — Monterrey, NL — March 2026</t>
  </si>
  <si>
    <t>KEY ASSUMPTIONS</t>
  </si>
  <si>
    <t>Facility size</t>
  </si>
  <si>
    <t>5,000 m² (53,820 sq ft)</t>
  </si>
  <si>
    <t>Shell with loading docks, transformer 500kVA included</t>
  </si>
  <si>
    <t>Production area (est.)</t>
  </si>
  <si>
    <t>~3,000 m² (32,290 sq ft)</t>
  </si>
  <si>
    <t>Celdas, burn-in, kitting, staging</t>
  </si>
  <si>
    <t>Office/support area (est.)</t>
  </si>
  <si>
    <t>~800 m² (8,611 sq ft)</t>
  </si>
  <si>
    <t>Engineering, quality, admin, meeting rooms</t>
  </si>
  <si>
    <t>Warehouse/staging (est.)</t>
  </si>
  <si>
    <t>~1,200 m² (12,917 sq ft)</t>
  </si>
  <si>
    <t>Raw material, WIP, finished goods</t>
  </si>
  <si>
    <t>Electrical demand</t>
  </si>
  <si>
    <t>~250-350 kW peak</t>
  </si>
  <si>
    <t>Burn-in 156 kW + HVAC + lighting + equipment</t>
  </si>
  <si>
    <t>Existing infrastructure</t>
  </si>
  <si>
    <t>Transformer 500kVA + CFE hookup + loading docks</t>
  </si>
  <si>
    <t>Already in shell — no need to budget</t>
  </si>
  <si>
    <t>FX Rate</t>
  </si>
  <si>
    <t>17.8167 MXN/USD</t>
  </si>
  <si>
    <t>Per financial model (Presupuesto Anual)</t>
  </si>
  <si>
    <t>Production cells</t>
  </si>
  <si>
    <t>22 cells (3 Kit + 12 Box + 2 Smoke + 3 Assy + 2 BI)</t>
  </si>
  <si>
    <t>Per Factory Cost file</t>
  </si>
  <si>
    <t>Security note</t>
  </si>
  <si>
    <t>Private industrial park — no CCTV/perimeter in Phase 1</t>
  </si>
  <si>
    <t>Will add from operating cash flow later</t>
  </si>
  <si>
    <t>Category / Line Item</t>
  </si>
  <si>
    <t>Low (USD)</t>
  </si>
  <si>
    <t>Mid (USD)</t>
  </si>
  <si>
    <t>High (USD)</t>
  </si>
  <si>
    <t>Best Est. (USD)</t>
  </si>
  <si>
    <t>Notes / Source</t>
  </si>
  <si>
    <t>1. ELECTRICAL INFRASTRUCTURE</t>
  </si>
  <si>
    <t>Tableros de distribución principal + secundarios</t>
  </si>
  <si>
    <t>Main switchgear + branch panels for production zones. $10K in Factory Cost covers burn-in only — need plant-wide.</t>
  </si>
  <si>
    <t>Distribución eléctrica interior (cableado, canalizaciones)</t>
  </si>
  <si>
    <t>Charola tipo malla + conduit para 5,000 m². ~$8/m² mid estimate.</t>
  </si>
  <si>
    <t>Iluminación industrial LED</t>
  </si>
  <si>
    <t>~200 luminarias LED high-bay 200W. $5.2/sq ft mid. Source: Industrial construction cost guides 2025.</t>
  </si>
  <si>
    <t>Sistema de tierras físicas + pararrayos</t>
  </si>
  <si>
    <t>Malla de tierras perimetral + varillas + pararrayos. Crítico para ESD y equipo electrónico.</t>
  </si>
  <si>
    <t>Planta de emergencia (200 kW)</t>
  </si>
  <si>
    <t>INCLUDED</t>
  </si>
  <si>
    <t>YA INCLUIDO en Factory Cost: generador $30K (shared) en Burn-In sheet.</t>
  </si>
  <si>
    <t>UPS modular (156 kW)</t>
  </si>
  <si>
    <t>YA INCLUIDO en Factory Cost: UPS $75K (shared) en Burn-In sheet.</t>
  </si>
  <si>
    <t>Subtotal</t>
  </si>
  <si>
    <t>2. HVAC &amp; COOLING</t>
  </si>
  <si>
    <t>HVAC producción — paquetes rooftop (3,000 m²)</t>
  </si>
  <si>
    <t>~25 TR para área de producción. 3-4 unidades rooftop 7.5 TR. $17-22/m². Source: HVAC industrial MX.</t>
  </si>
  <si>
    <t>HVAC oficinas (800 m²)</t>
  </si>
  <si>
    <t>Mini-splits o paquetes, ~6 TR total.</t>
  </si>
  <si>
    <t>Chiller plant (burn-in) — instalación completa</t>
  </si>
  <si>
    <t>Factory Cost has chiller at $30K equip only. Installation, piping, pumps add $25-55K.</t>
  </si>
  <si>
    <t>Ductería y distribución de aire</t>
  </si>
  <si>
    <t>Ductwork, diffusers, returns for full plant. ~$5/m² mid.</t>
  </si>
  <si>
    <t>3. FLOORING</t>
  </si>
  <si>
    <t>Piso epóxico antiestático — producción (3,000 m²)</t>
  </si>
  <si>
    <t>ESD-rated epoxy $15-35/m². CRITICAL for server assembly. Source: Epoxy flooring cost guides 2025.</t>
  </si>
  <si>
    <t>Piso epóxico estándar — warehouse (1,200 m²)</t>
  </si>
  <si>
    <t>Standard industrial epoxy $10-25/m². For forklift traffic and cleanliness.</t>
  </si>
  <si>
    <t>Nivelación / reparación de piso base</t>
  </si>
  <si>
    <t>Shell floors often need grinding/leveling before epoxy. $3-4.5/m² for 4,200 m².</t>
  </si>
  <si>
    <t>4. OFFICE BUILD-OUT &amp; SUPPORT AREAS</t>
  </si>
  <si>
    <t>Construcción de oficinas (800 m² — tablaroca, puertas, acabados)</t>
  </si>
  <si>
    <t>Drywall partitions, doors, finishes, restrooms. ~$75/m² mid. Source: MX commercial build-out.</t>
  </si>
  <si>
    <t>Sala de capacitación / training room</t>
  </si>
  <si>
    <t>Whiteboard, projector, tables, AC — multi-purpose.</t>
  </si>
  <si>
    <t>Laboratorio de calidad / incoming inspection</t>
  </si>
  <si>
    <t>Benches, lighting, basic metrology area.</t>
  </si>
  <si>
    <t>Comedor / break room</t>
  </si>
  <si>
    <t>Kitchen equipment, tables, ventilation. NOM-001-STPS requirement.</t>
  </si>
  <si>
    <t>Vestidores y sanitarios adicionales</t>
  </si>
  <si>
    <t>Lockers, showers (optional), additional restrooms for 74 HC.</t>
  </si>
  <si>
    <t>Cuarto de MES/IT/servidores</t>
  </si>
  <si>
    <t>Small server closet, AC, UPS, patch panels.</t>
  </si>
  <si>
    <t>5. IT &amp; DATA INFRASTRUCTURE</t>
  </si>
  <si>
    <t>Cableado estructurado Cat6A (100+ puntos)</t>
  </si>
  <si>
    <t>~100-120 drops @ $200-300 USD/drop installed+certified.</t>
  </si>
  <si>
    <t>Red Wi-Fi industrial (APs + controlador)</t>
  </si>
  <si>
    <t>10-15 industrial-grade APs for 5,000 m². Ubiquiti/Aruba.</t>
  </si>
  <si>
    <t>Core switch + distribution switches</t>
  </si>
  <si>
    <t>Layer 3 core + edge switches for MES, test, office VLANs.</t>
  </si>
  <si>
    <t>Enlace de internet dedicado + respaldo</t>
  </si>
  <si>
    <t>Fibra dedicada + enlace de respaldo. Setup + first month.</t>
  </si>
  <si>
    <t>6. FIRE PROTECTION &amp; SAFETY</t>
  </si>
  <si>
    <t>Sistema de sprinklers (5,000 m²)</t>
  </si>
  <si>
    <t>Wet pipe sprinkler per NFPA 13. $120-300 MXN/m². Source: Protectamx.com 2024.</t>
  </si>
  <si>
    <t>Detección de humo / alarma centralizada</t>
  </si>
  <si>
    <t>Addressable fire alarm panel + detectors. Full plant coverage.</t>
  </si>
  <si>
    <t>FM-200 / agente limpio — burn-in rooms</t>
  </si>
  <si>
    <t>YA INCLUIDO en Factory Cost: $15K per cell en Burn-In sheet.</t>
  </si>
  <si>
    <t>Extintores, señalización, rutas de evacuación</t>
  </si>
  <si>
    <t>Per NOM-002-STPS-2010. Extinguishers + signage + emergency lighting.</t>
  </si>
  <si>
    <t>Gabinetes contra incendio (hidrantes interiores)</t>
  </si>
  <si>
    <t>2-3 standpipe cabinets per building code.</t>
  </si>
  <si>
    <t>7. SECURITY &amp; ACCESS CONTROL</t>
  </si>
  <si>
    <t>Control de acceso (lectores, torniquetes, software)</t>
  </si>
  <si>
    <t>Biometric/card readers at 8-10 access points + server.</t>
  </si>
  <si>
    <t>8. LOADING DOCK &amp; MATERIAL HANDLING</t>
  </si>
  <si>
    <t>Adecuación de docks (rampas niveladoras, sellos)</t>
  </si>
  <si>
    <t>Shell has docks but may need levelers, seals, bumpers. 2-3 docks.</t>
  </si>
  <si>
    <t>Señalización industrial interior + exterior</t>
  </si>
  <si>
    <t>Floor markings, 5S, traffic lanes, safety signage.</t>
  </si>
  <si>
    <t>9. COMPLIANCE &amp; PERMITS</t>
  </si>
  <si>
    <t>Licencia de uso de suelo / permisos municipales</t>
  </si>
  <si>
    <t>Municipio depending on location.</t>
  </si>
  <si>
    <t>Dictamen de Protección Civil</t>
  </si>
  <si>
    <t>Required for industrial operations.</t>
  </si>
  <si>
    <t>Verificación de instalación eléctrica (UVIE)</t>
  </si>
  <si>
    <t>Mandatory electrical inspection unit per NOM-001-SEDE.</t>
  </si>
  <si>
    <t>Licencia ambiental / manifiesto de impacto</t>
  </si>
  <si>
    <t>SEMARNAT if applicable. Low impact for assembly.</t>
  </si>
  <si>
    <t>Ingeniería y proyecto ejecutivo (MEP)</t>
  </si>
  <si>
    <t>Architectural + MEP engineering drawings. Required for permits.</t>
  </si>
  <si>
    <t>10. CONTINGENCY</t>
  </si>
  <si>
    <t>Contingencia (15% del total)</t>
  </si>
  <si>
    <t>FORMULA: 15% of categories 1-9.</t>
  </si>
  <si>
    <t>TOTAL FACILITY BUILD-OUT (not in current CAPEX)</t>
  </si>
  <si>
    <t>Costs NOT in Factory Cost or Funding Structure</t>
  </si>
  <si>
    <t>Current CAPEX (Production Equipment — Factory Cost)</t>
  </si>
  <si>
    <t>Per Funding Structure. Workstations, tools, test equip, burn-in infra.</t>
  </si>
  <si>
    <t>TOTAL REVISED CAPEX (Equipment + Facility)</t>
  </si>
  <si>
    <t>IMPACT ON INVESTOR ASK</t>
  </si>
  <si>
    <t>Current ASK</t>
  </si>
  <si>
    <t>Per Funding Structure: WC $4.3M + CAPEX $885K + Founders $253K</t>
  </si>
  <si>
    <t>Additional facility build-out needed</t>
  </si>
  <si>
    <t>REVISED ASK</t>
  </si>
  <si>
    <t>Recommend rounding to $6M-$6.5M for investor deck</t>
  </si>
  <si>
    <t>ITEMS REMOVED FROM v1 (per Enrique's feedback 2026-03-23)</t>
  </si>
  <si>
    <t xml:space="preserve">  ✗  Subestación eléctrica 500 kVA — Already included in shell lease (transformer provided)</t>
  </si>
  <si>
    <t xml:space="preserve">  ✗  Acometida CFE + trámite GDMTH — Already in the building, CFE hookup done</t>
  </si>
  <si>
    <t xml:space="preserve">  ✗  Extracción y ventilación industrial — No extractors/louvers (introduces dust). Smoke test extraction in Factory Cost</t>
  </si>
  <si>
    <t xml:space="preserve">  ✗  CCTV (cámaras IP + NVR) — Private industrial park, not Phase 1. Will add from operating cash flow</t>
  </si>
  <si>
    <t xml:space="preserve">  ✗  Cerca perimetral / bardas — Not applicable (private park)</t>
  </si>
  <si>
    <t xml:space="preserve">  ✗  Alarma perimetral + monitoreo — Not applicable (private park)</t>
  </si>
  <si>
    <t xml:space="preserve">  ✗  Racks de almacén (pallet racking) — Already budgeted elsewhere</t>
  </si>
  <si>
    <t xml:space="preserve">  ✗  Montacargas / pallet jack eléctrico — Already budgeted elsewhere</t>
  </si>
  <si>
    <t>Industry Benchmarks — Facility Build-Out Costs</t>
  </si>
  <si>
    <t>COST PER AREA BENCHMARKS</t>
  </si>
  <si>
    <t>Facility Type</t>
  </si>
  <si>
    <t>USD/sq ft</t>
  </si>
  <si>
    <t>USD/m²</t>
  </si>
  <si>
    <t>Implied Total (5,000 m²)</t>
  </si>
  <si>
    <t>Source</t>
  </si>
  <si>
    <t>Basic warehouse shell (Mexico)</t>
  </si>
  <si>
    <t>$25-40</t>
  </si>
  <si>
    <t>$270-430</t>
  </si>
  <si>
    <t>$1.35M-$2.15M</t>
  </si>
  <si>
    <t>NAPS Intl / Cushman &amp; Wakefield 2025</t>
  </si>
  <si>
    <t>Light manufacturing fit-out (Mexico)</t>
  </si>
  <si>
    <t>$15-30</t>
  </si>
  <si>
    <t>$160-320</t>
  </si>
  <si>
    <t>$0.8M-$1.6M</t>
  </si>
  <si>
    <t>Tetakawi / Co-Production International</t>
  </si>
  <si>
    <t>Electronics assembly (cleanroom-lite)</t>
  </si>
  <si>
    <t>$30-60</t>
  </si>
  <si>
    <t>$320-645</t>
  </si>
  <si>
    <t>$1.6M-$3.2M</t>
  </si>
  <si>
    <t>Assembly Magazine Capital Survey 2022</t>
  </si>
  <si>
    <t>Data center build-out (Tier II-III)</t>
  </si>
  <si>
    <t>$600-1,100</t>
  </si>
  <si>
    <t>$6,450-11,830</t>
  </si>
  <si>
    <t>$32M-$59M</t>
  </si>
  <si>
    <t>Dgtl Infra — NOT comparable, reference only</t>
  </si>
  <si>
    <t>GPW current CAPEX (equipment only)</t>
  </si>
  <si>
    <t>$16.45</t>
  </si>
  <si>
    <t>$177</t>
  </si>
  <si>
    <t>$885K</t>
  </si>
  <si>
    <t>Factory Cost + Funding Structure</t>
  </si>
  <si>
    <t>GPW revised (equip + facility, mid)</t>
  </si>
  <si>
    <t>This analysis — see Resumen Ejecutivo</t>
  </si>
  <si>
    <t>COMPONENT COST BENCHMARKS (Mexico)</t>
  </si>
  <si>
    <t>Component</t>
  </si>
  <si>
    <t>Range (MXN/m²)</t>
  </si>
  <si>
    <t>Range (USD/m²)</t>
  </si>
  <si>
    <t>For 5,000 m² (USD)</t>
  </si>
  <si>
    <t>Piso epóxico industrial</t>
  </si>
  <si>
    <t>$120-300 MXN</t>
  </si>
  <si>
    <t>$7-17</t>
  </si>
  <si>
    <t>$35K-$85K</t>
  </si>
  <si>
    <t>Cronoshare MX 2025</t>
  </si>
  <si>
    <t>Piso epóxico ESD-rated</t>
  </si>
  <si>
    <t>$250-600 MXN</t>
  </si>
  <si>
    <t>$14-34</t>
  </si>
  <si>
    <t>$70K-$170K</t>
  </si>
  <si>
    <t>2x-3x standard premium</t>
  </si>
  <si>
    <t>Remodelación nave (general)</t>
  </si>
  <si>
    <t>$1,000-7,000 MXN</t>
  </si>
  <si>
    <t>$56-393</t>
  </si>
  <si>
    <t>$280K-$1.96M</t>
  </si>
  <si>
    <t>Cronoshare MX — depends on scope</t>
  </si>
  <si>
    <t>Subestación 500 kVA</t>
  </si>
  <si>
    <t>$800K-1.8M MXN</t>
  </si>
  <si>
    <t>$45K-101K</t>
  </si>
  <si>
    <t>N/A — included in shell</t>
  </si>
  <si>
    <t>MercadoLibre MX + industrial contractors</t>
  </si>
  <si>
    <t>Sprinklers (wet pipe)</t>
  </si>
  <si>
    <t>$120-300 MXN/m²</t>
  </si>
  <si>
    <t>Protectamx.com 2024</t>
  </si>
  <si>
    <t>HVAC industrial (rooftop)</t>
  </si>
  <si>
    <t>$300-500 MXN/m²</t>
  </si>
  <si>
    <t>$17-28</t>
  </si>
  <si>
    <t>$85K-$140K</t>
  </si>
  <si>
    <t>MX industrial HVAC contractors</t>
  </si>
  <si>
    <t>Cableado estructurado (por punto)</t>
  </si>
  <si>
    <t>$4,500-8,000 MXN/pto</t>
  </si>
  <si>
    <t>$250-450/drop</t>
  </si>
  <si>
    <t>$25K-$45K (100 drops)</t>
  </si>
  <si>
    <t>SC Telecom MX</t>
  </si>
  <si>
    <t>Iluminación LED industrial</t>
  </si>
  <si>
    <t>$80-200 MXN/m²</t>
  </si>
  <si>
    <t>$4.5-11</t>
  </si>
  <si>
    <t>$22K-$55K</t>
  </si>
  <si>
    <t>LED industrial suppliers MX</t>
  </si>
  <si>
    <t>Oficinas (tablaroca + acabados)</t>
  </si>
  <si>
    <t>$1,200-2,500 MXN/m²</t>
  </si>
  <si>
    <t>$67-140</t>
  </si>
  <si>
    <t>$54K-$112K (800m²)</t>
  </si>
  <si>
    <t>Construction cost MX 2025</t>
  </si>
  <si>
    <t>Gap Analysis — Current CAPEX vs. Real Requirements (v2)</t>
  </si>
  <si>
    <t>Updated per Enrique's feedback: transformer + CFE in shell, no CCTV/perimeter, racking/forklifts budgeted</t>
  </si>
  <si>
    <t>Item</t>
  </si>
  <si>
    <t>In Factory Cost?</t>
  </si>
  <si>
    <t>In Funding Str.?</t>
  </si>
  <si>
    <t>Gap (USD)</t>
  </si>
  <si>
    <t>Status / Notes</t>
  </si>
  <si>
    <t>--- COVERED (no gap) ---</t>
  </si>
  <si>
    <t>—</t>
  </si>
  <si>
    <t>Workstations (Worksmart 85030)</t>
  </si>
  <si>
    <t>YES</t>
  </si>
  <si>
    <t>Covered. 22 cells priced.</t>
  </si>
  <si>
    <t>Cell tools</t>
  </si>
  <si>
    <t>Covered per cell.</t>
  </si>
  <si>
    <t>Test equipment (smoke, burn-in)</t>
  </si>
  <si>
    <t>Covered.</t>
  </si>
  <si>
    <t>UPS bank (156 kW)</t>
  </si>
  <si>
    <t>$75K covered.</t>
  </si>
  <si>
    <t>Generator + ATS (200 kW)</t>
  </si>
  <si>
    <t>$30K covered.</t>
  </si>
  <si>
    <t>ServerLIFT (shared)</t>
  </si>
  <si>
    <t>ESD mats + barcode equip</t>
  </si>
  <si>
    <t>IN SHELL</t>
  </si>
  <si>
    <t>N/A</t>
  </si>
  <si>
    <t>Transformer included in lease.</t>
  </si>
  <si>
    <t>Acometida CFE / GDMTH</t>
  </si>
  <si>
    <t>CFE hookup already done.</t>
  </si>
  <si>
    <t>Pallet racking</t>
  </si>
  <si>
    <t>ELSEWHERE</t>
  </si>
  <si>
    <t>Already budgeted.</t>
  </si>
  <si>
    <t>Montacargas/pallet jacks</t>
  </si>
  <si>
    <t>--- GAP: NOT BUDGETED ---</t>
  </si>
  <si>
    <t>Distribution panels (plant-wide)</t>
  </si>
  <si>
    <t>PARTIAL</t>
  </si>
  <si>
    <t>Only burn-in panels covered.</t>
  </si>
  <si>
    <t>Interior electrical distribution</t>
  </si>
  <si>
    <t>NO</t>
  </si>
  <si>
    <t>5,000 m² wiring, conduit.</t>
  </si>
  <si>
    <t>Industrial LED lighting</t>
  </si>
  <si>
    <t>Shell has no lighting.</t>
  </si>
  <si>
    <t>Grounding + lightning</t>
  </si>
  <si>
    <t>Critical for ESD.</t>
  </si>
  <si>
    <t>HVAC production (3,000 m²)</t>
  </si>
  <si>
    <t>Cannot assemble without climate control.</t>
  </si>
  <si>
    <t>HVAC offices (800 m²)</t>
  </si>
  <si>
    <t>Monterrey heat.</t>
  </si>
  <si>
    <t>Chiller installation (piping, pumps)</t>
  </si>
  <si>
    <t>Equipment covered, installation not.</t>
  </si>
  <si>
    <t>HVAC ductwork</t>
  </si>
  <si>
    <t>Full plant ductwork.</t>
  </si>
  <si>
    <t>ESD-rated epoxy flooring (prod)</t>
  </si>
  <si>
    <t>CRITICAL. Shell = bare concrete.</t>
  </si>
  <si>
    <t>Standard epoxy (warehouse)</t>
  </si>
  <si>
    <t>Forklift traffic.</t>
  </si>
  <si>
    <t>Floor leveling</t>
  </si>
  <si>
    <t>Required before epoxy.</t>
  </si>
  <si>
    <t>Office construction (800 m²)</t>
  </si>
  <si>
    <t>Shell = no offices.</t>
  </si>
  <si>
    <t>Training room</t>
  </si>
  <si>
    <t>For 74 HC.</t>
  </si>
  <si>
    <t>Quality lab</t>
  </si>
  <si>
    <t>OEM quality requirements.</t>
  </si>
  <si>
    <t>Break room / comedor</t>
  </si>
  <si>
    <t>NOM-001-STPS.</t>
  </si>
  <si>
    <t>Locker rooms / restrooms</t>
  </si>
  <si>
    <t>Additional for 74 HC.</t>
  </si>
  <si>
    <t>IT/MES server room</t>
  </si>
  <si>
    <t>Small but critical.</t>
  </si>
  <si>
    <t>Structured cabling (100+ drops)</t>
  </si>
  <si>
    <t>MES, test, offices.</t>
  </si>
  <si>
    <t>WiFi infrastructure</t>
  </si>
  <si>
    <t>Industrial APs.</t>
  </si>
  <si>
    <t>Network switches</t>
  </si>
  <si>
    <t>Core + distribution.</t>
  </si>
  <si>
    <t>Internet link</t>
  </si>
  <si>
    <t>Fiber + backup.</t>
  </si>
  <si>
    <t>Sprinkler system (5,000 m²)</t>
  </si>
  <si>
    <t>NFPA 13 required.</t>
  </si>
  <si>
    <t>Fire detection/alarm</t>
  </si>
  <si>
    <t>Addressable system.</t>
  </si>
  <si>
    <t>Extinguishers/signage</t>
  </si>
  <si>
    <t>NOM-002-STPS.</t>
  </si>
  <si>
    <t>Fire cabinets</t>
  </si>
  <si>
    <t>Standpipes.</t>
  </si>
  <si>
    <t>Access control</t>
  </si>
  <si>
    <t>Card/biometric readers.</t>
  </si>
  <si>
    <t>Dock adaptation (levelers, seals)</t>
  </si>
  <si>
    <t>Needs levelers/seals.</t>
  </si>
  <si>
    <t>Floor markings / 5S</t>
  </si>
  <si>
    <t>Safety markings.</t>
  </si>
  <si>
    <t>Permits / licenses</t>
  </si>
  <si>
    <t>Municipal + Protección Civil.</t>
  </si>
  <si>
    <t>UVIE electrical verification</t>
  </si>
  <si>
    <t>Mandatory.</t>
  </si>
  <si>
    <t>Environmental license</t>
  </si>
  <si>
    <t>SEMARNAT.</t>
  </si>
  <si>
    <t>MEP engineering project</t>
  </si>
  <si>
    <t>Drawings for permits.</t>
  </si>
  <si>
    <t>TOTAL GAP (Best Estimate)</t>
  </si>
  <si>
    <t>Before contingency. Add 15% = $808,449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</si>
</sst>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 x14ac:knownFonts="1">
    <font>
      <sz val="11"/>
      <color theme="1"/>
      <name val="Calibri"/>
      <family val="2"/>
      <charset val="1"/>
    </font>
    <font>
      <b/>
      <sz val="16"/>
      <color rgb="FF23555A"/>
      <name val="Trirong"/>
      <charset val="1"/>
    </font>
    <font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sz val="10"/>
      <color rgb="FF000000"/>
      <name val="Arial"/>
      <charset val="1"/>
    </font>
    <font>
      <i/>
      <sz val="9"/>
      <color rgb="FF999999"/>
      <name val="Arial"/>
      <charset val="1"/>
    </font>
    <font>
      <b/>
      <sz val="10"/>
      <color rgb="FF2A4E64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CC0000"/>
      <name val="Arial"/>
      <charset val="1"/>
    </font>
    <font>
      <sz val="9"/>
      <color rgb="FF999999"/>
      <name val="Arial"/>
      <charset val="1"/>
    </font>
    <font>
      <b/>
      <sz val="14"/>
      <color rgb="FF23555A"/>
      <name val="Trirong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A4E64"/>
        <bgColor rgb="FF23555A"/>
      </patternFill>
    </fill>
    <fill>
      <patternFill patternType="solid">
        <fgColor rgb="FFFFFDE7"/>
        <bgColor rgb="FFFFFFFF"/>
      </patternFill>
    </fill>
    <fill>
      <patternFill patternType="solid">
        <fgColor rgb="FF23555A"/>
        <bgColor rgb="FF2A4E64"/>
      </patternFill>
    </fill>
    <fill>
      <patternFill patternType="solid">
        <fgColor rgb="FFED835E"/>
        <bgColor rgb="FFFF9900"/>
      </patternFill>
    </fill>
    <fill>
      <patternFill patternType="solid">
        <fgColor rgb="FFF2F2F2"/>
        <bgColor rgb="FFFFFD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3555A"/>
      </top>
      <bottom style="medium">
        <color rgb="FF23555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5" fillId="0" borderId="0" xfId="0" applyFont="1"/>
    <xf numFmtId="0" fontId="14" fillId="0" borderId="0" xfId="0" applyFont="1"/>
    <xf numFmtId="0" fontId="9" fillId="0" borderId="0" xfId="0" applyFont="1"/>
    <xf numFmtId="0" fontId="6" fillId="3" borderId="1" xfId="0" applyFont="1" applyFill="1" applyBorder="1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0" fillId="5" borderId="1" xfId="0" applyFill="1" applyBorder="1"/>
    <xf numFmtId="0" fontId="7" fillId="6" borderId="1" xfId="0" applyFont="1" applyFill="1" applyBorder="1"/>
    <xf numFmtId="164" fontId="5" fillId="6" borderId="1" xfId="0" applyNumberFormat="1" applyFont="1" applyFill="1" applyBorder="1"/>
    <xf numFmtId="0" fontId="6" fillId="6" borderId="1" xfId="0" applyFont="1" applyFill="1" applyBorder="1" applyAlignment="1">
      <alignment vertical="top" wrapText="1"/>
    </xf>
    <xf numFmtId="0" fontId="7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2" xfId="0" applyFont="1" applyBorder="1"/>
    <xf numFmtId="164" fontId="10" fillId="0" borderId="2" xfId="0" applyNumberFormat="1" applyFont="1" applyBorder="1"/>
    <xf numFmtId="0" fontId="0" fillId="0" borderId="2" xfId="0" applyBorder="1"/>
    <xf numFmtId="0" fontId="3" fillId="4" borderId="1" xfId="0" applyFont="1" applyFill="1" applyBorder="1"/>
    <xf numFmtId="164" fontId="11" fillId="4" borderId="1" xfId="0" applyNumberFormat="1" applyFont="1" applyFill="1" applyBorder="1"/>
    <xf numFmtId="0" fontId="12" fillId="4" borderId="1" xfId="0" applyFont="1" applyFill="1" applyBorder="1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11" fillId="5" borderId="1" xfId="0" applyFont="1" applyFill="1" applyBorder="1"/>
    <xf numFmtId="164" fontId="11" fillId="5" borderId="1" xfId="0" applyNumberFormat="1" applyFont="1" applyFill="1" applyBorder="1"/>
    <xf numFmtId="0" fontId="11" fillId="2" borderId="1" xfId="0" applyFont="1" applyFill="1" applyBorder="1"/>
    <xf numFmtId="0" fontId="0" fillId="2" borderId="1" xfId="0" applyFill="1" applyBorder="1"/>
    <xf numFmtId="164" fontId="13" fillId="0" borderId="1" xfId="0" applyNumberFormat="1" applyFont="1" applyBorder="1"/>
    <xf numFmtId="164" fontId="3" fillId="5" borderId="1" xfId="0" applyNumberFormat="1" applyFont="1" applyFill="1" applyBorder="1"/>
    <xf numFmtId="0" fontId="12" fillId="5" borderId="1" xfId="0" applyFont="1" applyFill="1" applyBorder="1"/>
    <xf numFmtId="0" fontId="3" fillId="4" borderId="0" xfId="0" applyFont="1" applyFill="1"/>
    <xf numFmtId="0" fontId="0" fillId="4" borderId="0" xfId="0" applyFill="1"/>
    <xf numFmtId="0" fontId="16" fillId="2" borderId="1" xfId="0" applyFont="1" applyFill="1" applyBorder="1"/>
    <xf numFmtId="0" fontId="0" fillId="6" borderId="1" xfId="0" applyFill="1" applyBorder="1"/>
    <xf numFmtId="0" fontId="6" fillId="6" borderId="1" xfId="0" applyFont="1" applyFill="1" applyBorder="1"/>
    <xf numFmtId="0" fontId="16" fillId="5" borderId="1" xfId="0" applyFont="1" applyFill="1" applyBorder="1"/>
    <xf numFmtId="0" fontId="16" fillId="5" borderId="1" xfId="0" applyFont="1" applyFill="1" applyBorder="1" applyAlignment="1">
      <alignment vertical="top" wrapText="1"/>
    </xf>
    <xf numFmtId="0" fontId="0" fillId="4" borderId="1" xfId="0" applyFill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F2F2F2"/>
      <rgbColor rgb="FF660066"/>
      <rgbColor rgb="FFED835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23555A"/>
      <rgbColor rgb="FF339966"/>
      <rgbColor rgb="FF003300"/>
      <rgbColor rgb="FF333300"/>
      <rgbColor rgb="FF993300"/>
      <rgbColor rgb="FF993366"/>
      <rgbColor rgb="FF333399"/>
      <rgbColor rgb="FF2A4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2"/>
  <sheetViews>
    <sheetView tabSelected="1" zoomScaleNormal="100" workbookViewId="0">
      <pane xSplit="1" ySplit="16" topLeftCell="B74" activePane="bottomRight" state="frozen"/>
      <selection pane="topRight" activeCell="B1" sqref="B1"/>
      <selection pane="bottomLeft" activeCell="A17" sqref="A17"/>
      <selection pane="bottomRight" activeCell="C64" sqref="C64"/>
    </sheetView>
  </sheetViews>
  <sheetFormatPr baseColWidth="10" defaultColWidth="8.7109375" defaultRowHeight="15" customHeight="1" x14ac:dyDescent="0.25"/>
  <cols>
    <col min="1" max="1" width="3" customWidth="1"/>
    <col min="2" max="2" width="45" customWidth="1"/>
    <col min="3" max="6" width="18" customWidth="1"/>
    <col min="7" max="7" width="55" customWidth="1"/>
  </cols>
  <sheetData>
    <row r="2" spans="2:7" ht="30.75" x14ac:dyDescent="0.8">
      <c r="B2" s="7" t="s">
        <v>0</v>
      </c>
      <c r="C2" s="7"/>
      <c r="D2" s="7"/>
      <c r="E2" s="7"/>
      <c r="F2" s="7"/>
      <c r="G2" s="7"/>
    </row>
    <row r="3" spans="2:7" x14ac:dyDescent="0.25">
      <c r="B3" s="6" t="s">
        <v>1</v>
      </c>
      <c r="C3" s="6"/>
      <c r="D3" s="6"/>
      <c r="E3" s="6"/>
      <c r="F3" s="6"/>
      <c r="G3" s="6"/>
    </row>
    <row r="5" spans="2:7" x14ac:dyDescent="0.25">
      <c r="B5" s="5" t="s">
        <v>2</v>
      </c>
      <c r="C5" s="5"/>
      <c r="D5" s="5"/>
      <c r="E5" s="5"/>
      <c r="F5" s="5"/>
      <c r="G5" s="5"/>
    </row>
    <row r="6" spans="2:7" x14ac:dyDescent="0.25">
      <c r="B6" s="8" t="s">
        <v>3</v>
      </c>
      <c r="C6" s="9" t="s">
        <v>4</v>
      </c>
      <c r="D6" s="4" t="s">
        <v>5</v>
      </c>
      <c r="E6" s="4"/>
      <c r="F6" s="4"/>
      <c r="G6" s="4"/>
    </row>
    <row r="7" spans="2:7" x14ac:dyDescent="0.25">
      <c r="B7" s="8" t="s">
        <v>6</v>
      </c>
      <c r="C7" s="9" t="s">
        <v>7</v>
      </c>
      <c r="D7" s="4" t="s">
        <v>8</v>
      </c>
      <c r="E7" s="4"/>
      <c r="F7" s="4"/>
      <c r="G7" s="4"/>
    </row>
    <row r="8" spans="2:7" x14ac:dyDescent="0.25">
      <c r="B8" s="8" t="s">
        <v>9</v>
      </c>
      <c r="C8" s="9" t="s">
        <v>10</v>
      </c>
      <c r="D8" s="4" t="s">
        <v>11</v>
      </c>
      <c r="E8" s="4"/>
      <c r="F8" s="4"/>
      <c r="G8" s="4"/>
    </row>
    <row r="9" spans="2:7" x14ac:dyDescent="0.25">
      <c r="B9" s="8" t="s">
        <v>12</v>
      </c>
      <c r="C9" s="9" t="s">
        <v>13</v>
      </c>
      <c r="D9" s="4" t="s">
        <v>14</v>
      </c>
      <c r="E9" s="4"/>
      <c r="F9" s="4"/>
      <c r="G9" s="4"/>
    </row>
    <row r="10" spans="2:7" x14ac:dyDescent="0.25">
      <c r="B10" s="8" t="s">
        <v>15</v>
      </c>
      <c r="C10" s="9" t="s">
        <v>16</v>
      </c>
      <c r="D10" s="4" t="s">
        <v>17</v>
      </c>
      <c r="E10" s="4"/>
      <c r="F10" s="4"/>
      <c r="G10" s="4"/>
    </row>
    <row r="11" spans="2:7" x14ac:dyDescent="0.25">
      <c r="B11" s="8" t="s">
        <v>18</v>
      </c>
      <c r="C11" s="9" t="s">
        <v>19</v>
      </c>
      <c r="D11" s="4" t="s">
        <v>20</v>
      </c>
      <c r="E11" s="4"/>
      <c r="F11" s="4"/>
      <c r="G11" s="4"/>
    </row>
    <row r="12" spans="2:7" x14ac:dyDescent="0.25">
      <c r="B12" s="8" t="s">
        <v>21</v>
      </c>
      <c r="C12" s="9" t="s">
        <v>22</v>
      </c>
      <c r="D12" s="4" t="s">
        <v>23</v>
      </c>
      <c r="E12" s="4"/>
      <c r="F12" s="4"/>
      <c r="G12" s="4"/>
    </row>
    <row r="13" spans="2:7" x14ac:dyDescent="0.25">
      <c r="B13" s="8" t="s">
        <v>24</v>
      </c>
      <c r="C13" s="9" t="s">
        <v>25</v>
      </c>
      <c r="D13" s="4" t="s">
        <v>26</v>
      </c>
      <c r="E13" s="4"/>
      <c r="F13" s="4"/>
      <c r="G13" s="4"/>
    </row>
    <row r="14" spans="2:7" x14ac:dyDescent="0.25">
      <c r="B14" s="8" t="s">
        <v>27</v>
      </c>
      <c r="C14" s="9" t="s">
        <v>28</v>
      </c>
      <c r="D14" s="4" t="s">
        <v>29</v>
      </c>
      <c r="E14" s="4"/>
      <c r="F14" s="4"/>
      <c r="G14" s="4"/>
    </row>
    <row r="16" spans="2:7" x14ac:dyDescent="0.25">
      <c r="B16" s="10" t="s">
        <v>30</v>
      </c>
      <c r="C16" s="10" t="s">
        <v>31</v>
      </c>
      <c r="D16" s="10" t="s">
        <v>32</v>
      </c>
      <c r="E16" s="10" t="s">
        <v>33</v>
      </c>
      <c r="F16" s="10" t="s">
        <v>34</v>
      </c>
      <c r="G16" s="10" t="s">
        <v>35</v>
      </c>
    </row>
    <row r="17" spans="2:7" x14ac:dyDescent="0.25">
      <c r="B17" s="11" t="s">
        <v>36</v>
      </c>
      <c r="C17" s="12"/>
      <c r="D17" s="12"/>
      <c r="E17" s="12"/>
      <c r="F17" s="12"/>
      <c r="G17" s="12"/>
    </row>
    <row r="18" spans="2:7" ht="24" x14ac:dyDescent="0.25">
      <c r="B18" s="13" t="s">
        <v>37</v>
      </c>
      <c r="C18" s="14">
        <v>12000</v>
      </c>
      <c r="D18" s="14">
        <v>18000</v>
      </c>
      <c r="E18" s="14">
        <v>25000</v>
      </c>
      <c r="F18" s="14">
        <v>18000</v>
      </c>
      <c r="G18" s="15" t="s">
        <v>38</v>
      </c>
    </row>
    <row r="19" spans="2:7" x14ac:dyDescent="0.25">
      <c r="B19" s="16" t="s">
        <v>39</v>
      </c>
      <c r="C19" s="17">
        <v>25000</v>
      </c>
      <c r="D19" s="17">
        <v>40000</v>
      </c>
      <c r="E19" s="17">
        <v>55000</v>
      </c>
      <c r="F19" s="17">
        <v>40000</v>
      </c>
      <c r="G19" s="18" t="s">
        <v>40</v>
      </c>
    </row>
    <row r="20" spans="2:7" ht="24" x14ac:dyDescent="0.25">
      <c r="B20" s="13" t="s">
        <v>41</v>
      </c>
      <c r="C20" s="14">
        <v>18000</v>
      </c>
      <c r="D20" s="14">
        <v>28000</v>
      </c>
      <c r="E20" s="14">
        <v>40000</v>
      </c>
      <c r="F20" s="14">
        <v>28000</v>
      </c>
      <c r="G20" s="15" t="s">
        <v>42</v>
      </c>
    </row>
    <row r="21" spans="2:7" ht="24" x14ac:dyDescent="0.25">
      <c r="B21" s="16" t="s">
        <v>43</v>
      </c>
      <c r="C21" s="17">
        <v>5000</v>
      </c>
      <c r="D21" s="17">
        <v>8000</v>
      </c>
      <c r="E21" s="17">
        <v>12000</v>
      </c>
      <c r="F21" s="17">
        <v>8000</v>
      </c>
      <c r="G21" s="18" t="s">
        <v>44</v>
      </c>
    </row>
    <row r="22" spans="2:7" ht="24" x14ac:dyDescent="0.25">
      <c r="B22" s="13" t="s">
        <v>45</v>
      </c>
      <c r="C22" s="19" t="s">
        <v>46</v>
      </c>
      <c r="D22" s="19" t="s">
        <v>46</v>
      </c>
      <c r="E22" s="19" t="s">
        <v>46</v>
      </c>
      <c r="F22" s="19" t="s">
        <v>46</v>
      </c>
      <c r="G22" s="15" t="s">
        <v>47</v>
      </c>
    </row>
    <row r="23" spans="2:7" ht="24" x14ac:dyDescent="0.25">
      <c r="B23" s="16" t="s">
        <v>48</v>
      </c>
      <c r="C23" s="20" t="s">
        <v>46</v>
      </c>
      <c r="D23" s="20" t="s">
        <v>46</v>
      </c>
      <c r="E23" s="20" t="s">
        <v>46</v>
      </c>
      <c r="F23" s="20" t="s">
        <v>46</v>
      </c>
      <c r="G23" s="18" t="s">
        <v>49</v>
      </c>
    </row>
    <row r="24" spans="2:7" x14ac:dyDescent="0.25">
      <c r="B24" s="21" t="s">
        <v>50</v>
      </c>
      <c r="C24" s="22">
        <f>C18+C19+C20+C21</f>
        <v>60000</v>
      </c>
      <c r="D24" s="22">
        <f>D18+D19+D20+D21</f>
        <v>94000</v>
      </c>
      <c r="E24" s="22">
        <f>E18+E19+E20+E21</f>
        <v>132000</v>
      </c>
      <c r="F24" s="22">
        <f>F18+F19+F20+F21</f>
        <v>94000</v>
      </c>
      <c r="G24" s="23"/>
    </row>
    <row r="26" spans="2:7" x14ac:dyDescent="0.25">
      <c r="B26" s="11" t="s">
        <v>51</v>
      </c>
      <c r="C26" s="12"/>
      <c r="D26" s="12"/>
      <c r="E26" s="12"/>
      <c r="F26" s="12"/>
      <c r="G26" s="12"/>
    </row>
    <row r="27" spans="2:7" ht="24" x14ac:dyDescent="0.25">
      <c r="B27" s="16" t="s">
        <v>52</v>
      </c>
      <c r="C27" s="17">
        <v>60000</v>
      </c>
      <c r="D27" s="17">
        <v>85000</v>
      </c>
      <c r="E27" s="17">
        <v>120000</v>
      </c>
      <c r="F27" s="17">
        <v>85000</v>
      </c>
      <c r="G27" s="18" t="s">
        <v>53</v>
      </c>
    </row>
    <row r="28" spans="2:7" x14ac:dyDescent="0.25">
      <c r="B28" s="13" t="s">
        <v>54</v>
      </c>
      <c r="C28" s="14">
        <v>15000</v>
      </c>
      <c r="D28" s="14">
        <v>22000</v>
      </c>
      <c r="E28" s="14">
        <v>30000</v>
      </c>
      <c r="F28" s="14">
        <v>22000</v>
      </c>
      <c r="G28" s="15" t="s">
        <v>55</v>
      </c>
    </row>
    <row r="29" spans="2:7" ht="24" x14ac:dyDescent="0.25">
      <c r="B29" s="16" t="s">
        <v>56</v>
      </c>
      <c r="C29" s="17">
        <v>25000</v>
      </c>
      <c r="D29" s="17">
        <v>40000</v>
      </c>
      <c r="E29" s="17">
        <v>55000</v>
      </c>
      <c r="F29" s="17">
        <v>40000</v>
      </c>
      <c r="G29" s="18" t="s">
        <v>57</v>
      </c>
    </row>
    <row r="30" spans="2:7" x14ac:dyDescent="0.25">
      <c r="B30" s="13" t="s">
        <v>58</v>
      </c>
      <c r="C30" s="14">
        <v>15000</v>
      </c>
      <c r="D30" s="14">
        <v>25000</v>
      </c>
      <c r="E30" s="14">
        <v>35000</v>
      </c>
      <c r="F30" s="14">
        <v>25000</v>
      </c>
      <c r="G30" s="15" t="s">
        <v>59</v>
      </c>
    </row>
    <row r="31" spans="2:7" x14ac:dyDescent="0.25">
      <c r="B31" s="21" t="s">
        <v>50</v>
      </c>
      <c r="C31" s="22">
        <f>C27+C28+C29+C30</f>
        <v>115000</v>
      </c>
      <c r="D31" s="22">
        <f>D27+D28+D29+D30</f>
        <v>172000</v>
      </c>
      <c r="E31" s="22">
        <f>E27+E28+E29+E30</f>
        <v>240000</v>
      </c>
      <c r="F31" s="22">
        <f>F27+F28+F29+F30</f>
        <v>172000</v>
      </c>
      <c r="G31" s="23"/>
    </row>
    <row r="33" spans="2:7" x14ac:dyDescent="0.25">
      <c r="B33" s="11" t="s">
        <v>60</v>
      </c>
      <c r="C33" s="12"/>
      <c r="D33" s="12"/>
      <c r="E33" s="12"/>
      <c r="F33" s="12"/>
      <c r="G33" s="12"/>
    </row>
    <row r="34" spans="2:7" ht="24" x14ac:dyDescent="0.25">
      <c r="B34" s="13" t="s">
        <v>61</v>
      </c>
      <c r="C34" s="14">
        <v>45000</v>
      </c>
      <c r="D34" s="14">
        <v>75000</v>
      </c>
      <c r="E34" s="14">
        <v>105000</v>
      </c>
      <c r="F34" s="14">
        <v>75000</v>
      </c>
      <c r="G34" s="15" t="s">
        <v>62</v>
      </c>
    </row>
    <row r="35" spans="2:7" ht="24" x14ac:dyDescent="0.25">
      <c r="B35" s="16" t="s">
        <v>63</v>
      </c>
      <c r="C35" s="17">
        <v>12000</v>
      </c>
      <c r="D35" s="17">
        <v>21000</v>
      </c>
      <c r="E35" s="17">
        <v>30000</v>
      </c>
      <c r="F35" s="17">
        <v>21000</v>
      </c>
      <c r="G35" s="18" t="s">
        <v>64</v>
      </c>
    </row>
    <row r="36" spans="2:7" ht="24" x14ac:dyDescent="0.25">
      <c r="B36" s="13" t="s">
        <v>65</v>
      </c>
      <c r="C36" s="14">
        <v>8000</v>
      </c>
      <c r="D36" s="14">
        <v>15000</v>
      </c>
      <c r="E36" s="14">
        <v>22000</v>
      </c>
      <c r="F36" s="14">
        <v>15000</v>
      </c>
      <c r="G36" s="15" t="s">
        <v>66</v>
      </c>
    </row>
    <row r="37" spans="2:7" x14ac:dyDescent="0.25">
      <c r="B37" s="21" t="s">
        <v>50</v>
      </c>
      <c r="C37" s="22">
        <f>C34+C35+C36</f>
        <v>65000</v>
      </c>
      <c r="D37" s="22">
        <f>D34+D35+D36</f>
        <v>111000</v>
      </c>
      <c r="E37" s="22">
        <f>E34+E35+E36</f>
        <v>157000</v>
      </c>
      <c r="F37" s="22">
        <f>F34+F35+F36</f>
        <v>111000</v>
      </c>
      <c r="G37" s="23"/>
    </row>
    <row r="39" spans="2:7" x14ac:dyDescent="0.25">
      <c r="B39" s="11" t="s">
        <v>67</v>
      </c>
      <c r="C39" s="12"/>
      <c r="D39" s="12"/>
      <c r="E39" s="12"/>
      <c r="F39" s="12"/>
      <c r="G39" s="12"/>
    </row>
    <row r="40" spans="2:7" ht="24" x14ac:dyDescent="0.25">
      <c r="B40" s="13" t="s">
        <v>68</v>
      </c>
      <c r="C40" s="14">
        <v>40000</v>
      </c>
      <c r="D40" s="14">
        <v>60000</v>
      </c>
      <c r="E40" s="14">
        <v>80000</v>
      </c>
      <c r="F40" s="14">
        <v>60000</v>
      </c>
      <c r="G40" s="15" t="s">
        <v>69</v>
      </c>
    </row>
    <row r="41" spans="2:7" x14ac:dyDescent="0.25">
      <c r="B41" s="16" t="s">
        <v>70</v>
      </c>
      <c r="C41" s="17">
        <v>5000</v>
      </c>
      <c r="D41" s="17">
        <v>8000</v>
      </c>
      <c r="E41" s="17">
        <v>12000</v>
      </c>
      <c r="F41" s="17">
        <v>8000</v>
      </c>
      <c r="G41" s="18" t="s">
        <v>71</v>
      </c>
    </row>
    <row r="42" spans="2:7" x14ac:dyDescent="0.25">
      <c r="B42" s="13" t="s">
        <v>72</v>
      </c>
      <c r="C42" s="14">
        <v>8000</v>
      </c>
      <c r="D42" s="14">
        <v>15000</v>
      </c>
      <c r="E42" s="14">
        <v>22000</v>
      </c>
      <c r="F42" s="14">
        <v>15000</v>
      </c>
      <c r="G42" s="15" t="s">
        <v>73</v>
      </c>
    </row>
    <row r="43" spans="2:7" ht="24" x14ac:dyDescent="0.25">
      <c r="B43" s="16" t="s">
        <v>74</v>
      </c>
      <c r="C43" s="17">
        <v>5000</v>
      </c>
      <c r="D43" s="17">
        <v>10000</v>
      </c>
      <c r="E43" s="17">
        <v>15000</v>
      </c>
      <c r="F43" s="17">
        <v>10000</v>
      </c>
      <c r="G43" s="18" t="s">
        <v>75</v>
      </c>
    </row>
    <row r="44" spans="2:7" x14ac:dyDescent="0.25">
      <c r="B44" s="13" t="s">
        <v>76</v>
      </c>
      <c r="C44" s="14">
        <v>8000</v>
      </c>
      <c r="D44" s="14">
        <v>12000</v>
      </c>
      <c r="E44" s="14">
        <v>18000</v>
      </c>
      <c r="F44" s="14">
        <v>12000</v>
      </c>
      <c r="G44" s="15" t="s">
        <v>77</v>
      </c>
    </row>
    <row r="45" spans="2:7" x14ac:dyDescent="0.25">
      <c r="B45" s="16" t="s">
        <v>78</v>
      </c>
      <c r="C45" s="17">
        <v>5000</v>
      </c>
      <c r="D45" s="17">
        <v>10000</v>
      </c>
      <c r="E45" s="17">
        <v>15000</v>
      </c>
      <c r="F45" s="17">
        <v>10000</v>
      </c>
      <c r="G45" s="18" t="s">
        <v>79</v>
      </c>
    </row>
    <row r="46" spans="2:7" x14ac:dyDescent="0.25">
      <c r="B46" s="21" t="s">
        <v>50</v>
      </c>
      <c r="C46" s="22">
        <f>C40+C41+C42+C43+C44+C45</f>
        <v>71000</v>
      </c>
      <c r="D46" s="22">
        <f>D40+D41+D42+D43+D44+D45</f>
        <v>115000</v>
      </c>
      <c r="E46" s="22">
        <f>E40+E41+E42+E43+E44+E45</f>
        <v>162000</v>
      </c>
      <c r="F46" s="22">
        <f>F40+F41+F42+F43+F44+F45</f>
        <v>115000</v>
      </c>
      <c r="G46" s="23"/>
    </row>
    <row r="48" spans="2:7" x14ac:dyDescent="0.25">
      <c r="B48" s="11" t="s">
        <v>80</v>
      </c>
      <c r="C48" s="12"/>
      <c r="D48" s="12"/>
      <c r="E48" s="12"/>
      <c r="F48" s="12"/>
      <c r="G48" s="12"/>
    </row>
    <row r="49" spans="2:7" x14ac:dyDescent="0.25">
      <c r="B49" s="16" t="s">
        <v>81</v>
      </c>
      <c r="C49" s="17">
        <v>15000</v>
      </c>
      <c r="D49" s="17">
        <v>25000</v>
      </c>
      <c r="E49" s="17">
        <v>35000</v>
      </c>
      <c r="F49" s="17">
        <v>25000</v>
      </c>
      <c r="G49" s="18" t="s">
        <v>82</v>
      </c>
    </row>
    <row r="50" spans="2:7" x14ac:dyDescent="0.25">
      <c r="B50" s="13" t="s">
        <v>83</v>
      </c>
      <c r="C50" s="14">
        <v>5000</v>
      </c>
      <c r="D50" s="14">
        <v>8000</v>
      </c>
      <c r="E50" s="14">
        <v>12000</v>
      </c>
      <c r="F50" s="14">
        <v>8000</v>
      </c>
      <c r="G50" s="15" t="s">
        <v>84</v>
      </c>
    </row>
    <row r="51" spans="2:7" x14ac:dyDescent="0.25">
      <c r="B51" s="16" t="s">
        <v>85</v>
      </c>
      <c r="C51" s="17">
        <v>5000</v>
      </c>
      <c r="D51" s="17">
        <v>8000</v>
      </c>
      <c r="E51" s="17">
        <v>12000</v>
      </c>
      <c r="F51" s="17">
        <v>8000</v>
      </c>
      <c r="G51" s="18" t="s">
        <v>86</v>
      </c>
    </row>
    <row r="52" spans="2:7" x14ac:dyDescent="0.25">
      <c r="B52" s="13" t="s">
        <v>87</v>
      </c>
      <c r="C52" s="14">
        <v>3000</v>
      </c>
      <c r="D52" s="14">
        <v>5000</v>
      </c>
      <c r="E52" s="14">
        <v>8000</v>
      </c>
      <c r="F52" s="14">
        <v>5000</v>
      </c>
      <c r="G52" s="15" t="s">
        <v>88</v>
      </c>
    </row>
    <row r="53" spans="2:7" x14ac:dyDescent="0.25">
      <c r="B53" s="21" t="s">
        <v>50</v>
      </c>
      <c r="C53" s="22">
        <f>C49+C50+C51+C52</f>
        <v>28000</v>
      </c>
      <c r="D53" s="22">
        <f>D49+D50+D51+D52</f>
        <v>46000</v>
      </c>
      <c r="E53" s="22">
        <f>E49+E50+E51+E52</f>
        <v>67000</v>
      </c>
      <c r="F53" s="22">
        <f>F49+F50+F51+F52</f>
        <v>46000</v>
      </c>
      <c r="G53" s="23"/>
    </row>
    <row r="55" spans="2:7" x14ac:dyDescent="0.25">
      <c r="B55" s="11" t="s">
        <v>89</v>
      </c>
      <c r="C55" s="12"/>
      <c r="D55" s="12"/>
      <c r="E55" s="12"/>
      <c r="F55" s="12"/>
      <c r="G55" s="12"/>
    </row>
    <row r="56" spans="2:7" ht="24" x14ac:dyDescent="0.25">
      <c r="B56" s="13" t="s">
        <v>90</v>
      </c>
      <c r="C56" s="14">
        <v>40000</v>
      </c>
      <c r="D56" s="14">
        <v>65000</v>
      </c>
      <c r="E56" s="14">
        <v>90000</v>
      </c>
      <c r="F56" s="14">
        <v>65000</v>
      </c>
      <c r="G56" s="15" t="s">
        <v>91</v>
      </c>
    </row>
    <row r="57" spans="2:7" x14ac:dyDescent="0.25">
      <c r="B57" s="16" t="s">
        <v>92</v>
      </c>
      <c r="C57" s="17">
        <v>8000</v>
      </c>
      <c r="D57" s="17">
        <v>12000</v>
      </c>
      <c r="E57" s="17">
        <v>18000</v>
      </c>
      <c r="F57" s="17">
        <v>12000</v>
      </c>
      <c r="G57" s="18" t="s">
        <v>93</v>
      </c>
    </row>
    <row r="58" spans="2:7" x14ac:dyDescent="0.25">
      <c r="B58" s="13" t="s">
        <v>94</v>
      </c>
      <c r="C58" s="19" t="s">
        <v>46</v>
      </c>
      <c r="D58" s="19" t="s">
        <v>46</v>
      </c>
      <c r="E58" s="19" t="s">
        <v>46</v>
      </c>
      <c r="F58" s="19" t="s">
        <v>46</v>
      </c>
      <c r="G58" s="15" t="s">
        <v>95</v>
      </c>
    </row>
    <row r="59" spans="2:7" ht="24" x14ac:dyDescent="0.25">
      <c r="B59" s="16" t="s">
        <v>96</v>
      </c>
      <c r="C59" s="17">
        <v>3000</v>
      </c>
      <c r="D59" s="17">
        <v>5000</v>
      </c>
      <c r="E59" s="17">
        <v>8000</v>
      </c>
      <c r="F59" s="17">
        <v>5000</v>
      </c>
      <c r="G59" s="18" t="s">
        <v>97</v>
      </c>
    </row>
    <row r="60" spans="2:7" x14ac:dyDescent="0.25">
      <c r="B60" s="13" t="s">
        <v>98</v>
      </c>
      <c r="C60" s="14">
        <v>5000</v>
      </c>
      <c r="D60" s="14">
        <v>8000</v>
      </c>
      <c r="E60" s="14">
        <v>12000</v>
      </c>
      <c r="F60" s="14">
        <v>8000</v>
      </c>
      <c r="G60" s="15" t="s">
        <v>99</v>
      </c>
    </row>
    <row r="61" spans="2:7" x14ac:dyDescent="0.25">
      <c r="B61" s="21" t="s">
        <v>50</v>
      </c>
      <c r="C61" s="22">
        <f>C56+C57+C59+C60</f>
        <v>56000</v>
      </c>
      <c r="D61" s="22">
        <f>D56+D57+D59+D60</f>
        <v>90000</v>
      </c>
      <c r="E61" s="22">
        <f>E56+E57+E59+E60</f>
        <v>128000</v>
      </c>
      <c r="F61" s="22">
        <f>F56+F57+F59+F60</f>
        <v>90000</v>
      </c>
      <c r="G61" s="23"/>
    </row>
    <row r="63" spans="2:7" x14ac:dyDescent="0.25">
      <c r="B63" s="11" t="s">
        <v>100</v>
      </c>
      <c r="C63" s="12"/>
      <c r="D63" s="12"/>
      <c r="E63" s="12"/>
      <c r="F63" s="12"/>
      <c r="G63" s="12"/>
    </row>
    <row r="64" spans="2:7" x14ac:dyDescent="0.25">
      <c r="B64" s="13" t="s">
        <v>101</v>
      </c>
      <c r="C64" s="14">
        <v>8000</v>
      </c>
      <c r="D64" s="14">
        <v>12000</v>
      </c>
      <c r="E64" s="14">
        <v>18000</v>
      </c>
      <c r="F64" s="14">
        <v>12000</v>
      </c>
      <c r="G64" s="15" t="s">
        <v>102</v>
      </c>
    </row>
    <row r="65" spans="2:7" x14ac:dyDescent="0.25">
      <c r="B65" s="21" t="s">
        <v>50</v>
      </c>
      <c r="C65" s="22">
        <f>C64</f>
        <v>8000</v>
      </c>
      <c r="D65" s="22">
        <f>D64</f>
        <v>12000</v>
      </c>
      <c r="E65" s="22">
        <f>E64</f>
        <v>18000</v>
      </c>
      <c r="F65" s="22">
        <f>F64</f>
        <v>12000</v>
      </c>
      <c r="G65" s="23"/>
    </row>
    <row r="67" spans="2:7" x14ac:dyDescent="0.25">
      <c r="B67" s="11" t="s">
        <v>103</v>
      </c>
      <c r="C67" s="12"/>
      <c r="D67" s="12"/>
      <c r="E67" s="12"/>
      <c r="F67" s="12"/>
      <c r="G67" s="12"/>
    </row>
    <row r="68" spans="2:7" x14ac:dyDescent="0.25">
      <c r="B68" s="13" t="s">
        <v>104</v>
      </c>
      <c r="C68" s="14">
        <v>8000</v>
      </c>
      <c r="D68" s="14">
        <v>15000</v>
      </c>
      <c r="E68" s="14">
        <v>25000</v>
      </c>
      <c r="F68" s="14">
        <v>15000</v>
      </c>
      <c r="G68" s="15" t="s">
        <v>105</v>
      </c>
    </row>
    <row r="69" spans="2:7" x14ac:dyDescent="0.25">
      <c r="B69" s="16" t="s">
        <v>106</v>
      </c>
      <c r="C69" s="17">
        <v>3000</v>
      </c>
      <c r="D69" s="17">
        <v>5000</v>
      </c>
      <c r="E69" s="17">
        <v>8000</v>
      </c>
      <c r="F69" s="17">
        <v>5000</v>
      </c>
      <c r="G69" s="18" t="s">
        <v>107</v>
      </c>
    </row>
    <row r="70" spans="2:7" x14ac:dyDescent="0.25">
      <c r="B70" s="21" t="s">
        <v>50</v>
      </c>
      <c r="C70" s="22">
        <f>C68+C69</f>
        <v>11000</v>
      </c>
      <c r="D70" s="22">
        <f>D68+D69</f>
        <v>20000</v>
      </c>
      <c r="E70" s="22">
        <f>E68+E69</f>
        <v>33000</v>
      </c>
      <c r="F70" s="22">
        <f>F68+F69</f>
        <v>20000</v>
      </c>
      <c r="G70" s="23"/>
    </row>
    <row r="72" spans="2:7" x14ac:dyDescent="0.25">
      <c r="B72" s="11" t="s">
        <v>108</v>
      </c>
      <c r="C72" s="12"/>
      <c r="D72" s="12"/>
      <c r="E72" s="12"/>
      <c r="F72" s="12"/>
      <c r="G72" s="12"/>
    </row>
    <row r="73" spans="2:7" x14ac:dyDescent="0.25">
      <c r="B73" s="16" t="s">
        <v>109</v>
      </c>
      <c r="C73" s="17">
        <v>2000</v>
      </c>
      <c r="D73" s="17">
        <v>4000</v>
      </c>
      <c r="E73" s="17">
        <v>8000</v>
      </c>
      <c r="F73" s="17">
        <v>4000</v>
      </c>
      <c r="G73" s="18" t="s">
        <v>110</v>
      </c>
    </row>
    <row r="74" spans="2:7" x14ac:dyDescent="0.25">
      <c r="B74" s="13" t="s">
        <v>111</v>
      </c>
      <c r="C74" s="14">
        <v>3000</v>
      </c>
      <c r="D74" s="14">
        <v>5000</v>
      </c>
      <c r="E74" s="14">
        <v>8000</v>
      </c>
      <c r="F74" s="14">
        <v>5000</v>
      </c>
      <c r="G74" s="15" t="s">
        <v>112</v>
      </c>
    </row>
    <row r="75" spans="2:7" x14ac:dyDescent="0.25">
      <c r="B75" s="16" t="s">
        <v>113</v>
      </c>
      <c r="C75" s="17">
        <v>2000</v>
      </c>
      <c r="D75" s="17">
        <v>3000</v>
      </c>
      <c r="E75" s="17">
        <v>5000</v>
      </c>
      <c r="F75" s="17">
        <v>3000</v>
      </c>
      <c r="G75" s="18" t="s">
        <v>114</v>
      </c>
    </row>
    <row r="76" spans="2:7" x14ac:dyDescent="0.25">
      <c r="B76" s="13" t="s">
        <v>115</v>
      </c>
      <c r="C76" s="14">
        <v>2000</v>
      </c>
      <c r="D76" s="14">
        <v>3000</v>
      </c>
      <c r="E76" s="14">
        <v>5000</v>
      </c>
      <c r="F76" s="14">
        <v>3000</v>
      </c>
      <c r="G76" s="15" t="s">
        <v>116</v>
      </c>
    </row>
    <row r="77" spans="2:7" x14ac:dyDescent="0.25">
      <c r="B77" s="16" t="s">
        <v>117</v>
      </c>
      <c r="C77" s="17">
        <v>15000</v>
      </c>
      <c r="D77" s="17">
        <v>25000</v>
      </c>
      <c r="E77" s="17">
        <v>35000</v>
      </c>
      <c r="F77" s="17">
        <v>25000</v>
      </c>
      <c r="G77" s="18" t="s">
        <v>118</v>
      </c>
    </row>
    <row r="78" spans="2:7" x14ac:dyDescent="0.25">
      <c r="B78" s="21" t="s">
        <v>50</v>
      </c>
      <c r="C78" s="22">
        <f>C73+C74+C75+C76+C77</f>
        <v>24000</v>
      </c>
      <c r="D78" s="22">
        <f>D73+D74+D75+D76+D77</f>
        <v>40000</v>
      </c>
      <c r="E78" s="22">
        <f>E73+E74+E75+E76+E77</f>
        <v>61000</v>
      </c>
      <c r="F78" s="22">
        <f>F73+F74+F75+F76+F77</f>
        <v>40000</v>
      </c>
      <c r="G78" s="23"/>
    </row>
    <row r="80" spans="2:7" x14ac:dyDescent="0.25">
      <c r="B80" s="11" t="s">
        <v>119</v>
      </c>
      <c r="C80" s="12"/>
      <c r="D80" s="12"/>
      <c r="E80" s="12"/>
      <c r="F80" s="12"/>
      <c r="G80" s="12"/>
    </row>
    <row r="81" spans="2:7" x14ac:dyDescent="0.25">
      <c r="B81" s="16" t="s">
        <v>120</v>
      </c>
      <c r="C81" s="17">
        <f>(C24+C31+C37+C46+C53+C61+C65+C70+C78)*0.15</f>
        <v>65700</v>
      </c>
      <c r="D81" s="17">
        <f>(D24+D31+D37+D46+D53+D61+D65+D70+D78)*0.15</f>
        <v>105000</v>
      </c>
      <c r="E81" s="17">
        <f>(E24+E31+E37+E46+E53+E61+E65+E70+E78)*0.15</f>
        <v>149700</v>
      </c>
      <c r="F81" s="17">
        <f>(F24+F31+F37+F46+F53+F61+F65+F70+F78)*0.15</f>
        <v>105000</v>
      </c>
      <c r="G81" s="18" t="s">
        <v>121</v>
      </c>
    </row>
    <row r="83" spans="2:7" x14ac:dyDescent="0.25">
      <c r="B83" s="21" t="s">
        <v>50</v>
      </c>
      <c r="C83" s="22">
        <f>C81</f>
        <v>65700</v>
      </c>
      <c r="D83" s="22">
        <f>D81</f>
        <v>105000</v>
      </c>
      <c r="E83" s="22">
        <f>E81</f>
        <v>149700</v>
      </c>
      <c r="F83" s="22">
        <f>F81</f>
        <v>105000</v>
      </c>
      <c r="G83" s="23"/>
    </row>
    <row r="85" spans="2:7" ht="15.75" x14ac:dyDescent="0.25">
      <c r="B85" s="24" t="s">
        <v>122</v>
      </c>
      <c r="C85" s="25">
        <f>C24+C31+C37+C46+C53+C61+C65+C70+C78+C83</f>
        <v>503700</v>
      </c>
      <c r="D85" s="25">
        <f>D24+D31+D37+D46+D53+D61+D65+D70+D78+D83</f>
        <v>805000</v>
      </c>
      <c r="E85" s="25">
        <f>E24+E31+E37+E46+E53+E61+E65+E70+E78+E83</f>
        <v>1147700</v>
      </c>
      <c r="F85" s="25">
        <f>F24+F31+F37+F46+F53+F61+F65+F70+F78+F83</f>
        <v>805000</v>
      </c>
      <c r="G85" s="26" t="s">
        <v>123</v>
      </c>
    </row>
    <row r="86" spans="2:7" x14ac:dyDescent="0.25">
      <c r="B86" s="27" t="s">
        <v>124</v>
      </c>
      <c r="C86" s="28"/>
      <c r="D86" s="28"/>
      <c r="E86" s="28"/>
      <c r="F86" s="17">
        <v>885357</v>
      </c>
      <c r="G86" s="29" t="s">
        <v>125</v>
      </c>
    </row>
    <row r="87" spans="2:7" ht="15.75" x14ac:dyDescent="0.25">
      <c r="B87" s="30" t="s">
        <v>126</v>
      </c>
      <c r="C87" s="31">
        <f>C85+F86</f>
        <v>1389057</v>
      </c>
      <c r="D87" s="31">
        <f>D85+F86</f>
        <v>1690357</v>
      </c>
      <c r="E87" s="31">
        <f>E85+F86</f>
        <v>2033057</v>
      </c>
      <c r="F87" s="31">
        <f>F85+F86</f>
        <v>1690357</v>
      </c>
      <c r="G87" s="12"/>
    </row>
    <row r="89" spans="2:7" ht="15.75" x14ac:dyDescent="0.25">
      <c r="B89" s="32" t="s">
        <v>127</v>
      </c>
      <c r="C89" s="33"/>
      <c r="D89" s="33"/>
      <c r="E89" s="33"/>
      <c r="F89" s="33"/>
      <c r="G89" s="33"/>
    </row>
    <row r="90" spans="2:7" x14ac:dyDescent="0.25">
      <c r="B90" s="28" t="s">
        <v>128</v>
      </c>
      <c r="C90" s="28"/>
      <c r="D90" s="28"/>
      <c r="E90" s="28"/>
      <c r="F90" s="17">
        <v>5441223</v>
      </c>
      <c r="G90" s="29" t="s">
        <v>129</v>
      </c>
    </row>
    <row r="91" spans="2:7" x14ac:dyDescent="0.25">
      <c r="B91" s="28" t="s">
        <v>130</v>
      </c>
      <c r="C91" s="34">
        <f>C85</f>
        <v>503700</v>
      </c>
      <c r="D91" s="34">
        <f>D85</f>
        <v>805000</v>
      </c>
      <c r="E91" s="34">
        <f>E85</f>
        <v>1147700</v>
      </c>
      <c r="F91" s="34">
        <f>F85</f>
        <v>805000</v>
      </c>
      <c r="G91" s="28"/>
    </row>
    <row r="92" spans="2:7" x14ac:dyDescent="0.25">
      <c r="B92" s="11" t="s">
        <v>131</v>
      </c>
      <c r="C92" s="35">
        <f>F90+C91</f>
        <v>5944923</v>
      </c>
      <c r="D92" s="35">
        <f>F90+D91</f>
        <v>6246223</v>
      </c>
      <c r="E92" s="35">
        <f>F90+E91</f>
        <v>6588923</v>
      </c>
      <c r="F92" s="35">
        <f>F90+F91</f>
        <v>6246223</v>
      </c>
      <c r="G92" s="36" t="s">
        <v>132</v>
      </c>
    </row>
    <row r="94" spans="2:7" x14ac:dyDescent="0.25">
      <c r="B94" s="3" t="s">
        <v>133</v>
      </c>
      <c r="C94" s="3"/>
      <c r="D94" s="3"/>
      <c r="E94" s="3"/>
      <c r="F94" s="3"/>
      <c r="G94" s="3"/>
    </row>
    <row r="95" spans="2:7" x14ac:dyDescent="0.25">
      <c r="B95" s="2" t="s">
        <v>134</v>
      </c>
      <c r="C95" s="2"/>
      <c r="D95" s="2"/>
      <c r="E95" s="2"/>
      <c r="F95" s="2"/>
      <c r="G95" s="2"/>
    </row>
    <row r="96" spans="2:7" x14ac:dyDescent="0.25">
      <c r="B96" s="2" t="s">
        <v>135</v>
      </c>
      <c r="C96" s="2"/>
      <c r="D96" s="2"/>
      <c r="E96" s="2"/>
      <c r="F96" s="2"/>
      <c r="G96" s="2"/>
    </row>
    <row r="97" spans="2:7" x14ac:dyDescent="0.25">
      <c r="B97" s="2" t="s">
        <v>136</v>
      </c>
      <c r="C97" s="2"/>
      <c r="D97" s="2"/>
      <c r="E97" s="2"/>
      <c r="F97" s="2"/>
      <c r="G97" s="2"/>
    </row>
    <row r="98" spans="2:7" x14ac:dyDescent="0.25">
      <c r="B98" s="2" t="s">
        <v>137</v>
      </c>
      <c r="C98" s="2"/>
      <c r="D98" s="2"/>
      <c r="E98" s="2"/>
      <c r="F98" s="2"/>
      <c r="G98" s="2"/>
    </row>
    <row r="99" spans="2:7" x14ac:dyDescent="0.25">
      <c r="B99" s="2" t="s">
        <v>138</v>
      </c>
      <c r="C99" s="2"/>
      <c r="D99" s="2"/>
      <c r="E99" s="2"/>
      <c r="F99" s="2"/>
      <c r="G99" s="2"/>
    </row>
    <row r="100" spans="2:7" x14ac:dyDescent="0.25">
      <c r="B100" s="2" t="s">
        <v>139</v>
      </c>
      <c r="C100" s="2"/>
      <c r="D100" s="2"/>
      <c r="E100" s="2"/>
      <c r="F100" s="2"/>
      <c r="G100" s="2"/>
    </row>
    <row r="101" spans="2:7" x14ac:dyDescent="0.25">
      <c r="B101" s="2" t="s">
        <v>140</v>
      </c>
      <c r="C101" s="2"/>
      <c r="D101" s="2"/>
      <c r="E101" s="2"/>
      <c r="F101" s="2"/>
      <c r="G101" s="2"/>
    </row>
    <row r="102" spans="2:7" x14ac:dyDescent="0.25">
      <c r="B102" s="2" t="s">
        <v>141</v>
      </c>
      <c r="C102" s="2"/>
      <c r="D102" s="2"/>
      <c r="E102" s="2"/>
      <c r="F102" s="2"/>
      <c r="G102" s="2"/>
    </row>
  </sheetData>
  <mergeCells count="21">
    <mergeCell ref="B102:G102"/>
    <mergeCell ref="B97:G97"/>
    <mergeCell ref="B98:G98"/>
    <mergeCell ref="B99:G99"/>
    <mergeCell ref="B100:G100"/>
    <mergeCell ref="B101:G101"/>
    <mergeCell ref="D13:G13"/>
    <mergeCell ref="D14:G14"/>
    <mergeCell ref="B94:G94"/>
    <mergeCell ref="B95:G95"/>
    <mergeCell ref="B96:G96"/>
    <mergeCell ref="D8:G8"/>
    <mergeCell ref="D9:G9"/>
    <mergeCell ref="D10:G10"/>
    <mergeCell ref="D11:G11"/>
    <mergeCell ref="D12:G12"/>
    <mergeCell ref="B2:G2"/>
    <mergeCell ref="B3:G3"/>
    <mergeCell ref="B5:G5"/>
    <mergeCell ref="D6:G6"/>
    <mergeCell ref="D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customHeight="1" x14ac:dyDescent="0.25"/>
  <cols>
    <col min="1" max="1" width="3" customWidth="1"/>
    <col min="2" max="2" width="35" customWidth="1"/>
    <col min="3" max="5" width="20" customWidth="1"/>
    <col min="6" max="6" width="50" customWidth="1"/>
  </cols>
  <sheetData>
    <row r="2" spans="2:6" ht="28.5" x14ac:dyDescent="0.75">
      <c r="B2" s="1" t="s">
        <v>142</v>
      </c>
      <c r="C2" s="1"/>
      <c r="D2" s="1"/>
      <c r="E2" s="1"/>
      <c r="F2" s="1"/>
    </row>
    <row r="4" spans="2:6" x14ac:dyDescent="0.25">
      <c r="B4" s="37" t="s">
        <v>143</v>
      </c>
      <c r="C4" s="38"/>
      <c r="D4" s="38"/>
      <c r="E4" s="38"/>
      <c r="F4" s="38"/>
    </row>
    <row r="5" spans="2:6" x14ac:dyDescent="0.25">
      <c r="B5" s="39" t="s">
        <v>144</v>
      </c>
      <c r="C5" s="39" t="s">
        <v>145</v>
      </c>
      <c r="D5" s="39" t="s">
        <v>146</v>
      </c>
      <c r="E5" s="39" t="s">
        <v>147</v>
      </c>
      <c r="F5" s="39" t="s">
        <v>148</v>
      </c>
    </row>
    <row r="6" spans="2:6" x14ac:dyDescent="0.25">
      <c r="B6" s="40" t="s">
        <v>149</v>
      </c>
      <c r="C6" s="40" t="s">
        <v>150</v>
      </c>
      <c r="D6" s="40" t="s">
        <v>151</v>
      </c>
      <c r="E6" s="40" t="s">
        <v>152</v>
      </c>
      <c r="F6" s="41" t="s">
        <v>153</v>
      </c>
    </row>
    <row r="7" spans="2:6" x14ac:dyDescent="0.25">
      <c r="B7" s="28" t="s">
        <v>154</v>
      </c>
      <c r="C7" s="28" t="s">
        <v>155</v>
      </c>
      <c r="D7" s="28" t="s">
        <v>156</v>
      </c>
      <c r="E7" s="28" t="s">
        <v>157</v>
      </c>
      <c r="F7" s="29" t="s">
        <v>158</v>
      </c>
    </row>
    <row r="8" spans="2:6" x14ac:dyDescent="0.25">
      <c r="B8" s="40" t="s">
        <v>159</v>
      </c>
      <c r="C8" s="40" t="s">
        <v>160</v>
      </c>
      <c r="D8" s="40" t="s">
        <v>161</v>
      </c>
      <c r="E8" s="40" t="s">
        <v>162</v>
      </c>
      <c r="F8" s="41" t="s">
        <v>163</v>
      </c>
    </row>
    <row r="9" spans="2:6" x14ac:dyDescent="0.25">
      <c r="B9" s="28" t="s">
        <v>164</v>
      </c>
      <c r="C9" s="28" t="s">
        <v>165</v>
      </c>
      <c r="D9" s="28" t="s">
        <v>166</v>
      </c>
      <c r="E9" s="28" t="s">
        <v>167</v>
      </c>
      <c r="F9" s="29" t="s">
        <v>168</v>
      </c>
    </row>
    <row r="10" spans="2:6" x14ac:dyDescent="0.25">
      <c r="B10" s="40" t="s">
        <v>169</v>
      </c>
      <c r="C10" s="40" t="s">
        <v>170</v>
      </c>
      <c r="D10" s="40" t="s">
        <v>171</v>
      </c>
      <c r="E10" s="40" t="s">
        <v>172</v>
      </c>
      <c r="F10" s="41" t="s">
        <v>173</v>
      </c>
    </row>
    <row r="11" spans="2:6" x14ac:dyDescent="0.25">
      <c r="B11" s="28" t="s">
        <v>174</v>
      </c>
      <c r="C11" s="28"/>
      <c r="D11" s="28"/>
      <c r="E11" s="28"/>
      <c r="F11" s="29" t="s">
        <v>175</v>
      </c>
    </row>
    <row r="14" spans="2:6" x14ac:dyDescent="0.25">
      <c r="B14" s="37" t="s">
        <v>176</v>
      </c>
      <c r="C14" s="38"/>
      <c r="D14" s="38"/>
      <c r="E14" s="38"/>
      <c r="F14" s="38"/>
    </row>
    <row r="15" spans="2:6" x14ac:dyDescent="0.25">
      <c r="B15" s="39" t="s">
        <v>177</v>
      </c>
      <c r="C15" s="39" t="s">
        <v>178</v>
      </c>
      <c r="D15" s="39" t="s">
        <v>179</v>
      </c>
      <c r="E15" s="39" t="s">
        <v>180</v>
      </c>
      <c r="F15" s="39" t="s">
        <v>148</v>
      </c>
    </row>
    <row r="16" spans="2:6" x14ac:dyDescent="0.25">
      <c r="B16" s="40" t="s">
        <v>181</v>
      </c>
      <c r="C16" s="40" t="s">
        <v>182</v>
      </c>
      <c r="D16" s="40" t="s">
        <v>183</v>
      </c>
      <c r="E16" s="40" t="s">
        <v>184</v>
      </c>
      <c r="F16" s="41" t="s">
        <v>185</v>
      </c>
    </row>
    <row r="17" spans="2:6" x14ac:dyDescent="0.25">
      <c r="B17" s="28" t="s">
        <v>186</v>
      </c>
      <c r="C17" s="28" t="s">
        <v>187</v>
      </c>
      <c r="D17" s="28" t="s">
        <v>188</v>
      </c>
      <c r="E17" s="28" t="s">
        <v>189</v>
      </c>
      <c r="F17" s="29" t="s">
        <v>190</v>
      </c>
    </row>
    <row r="18" spans="2:6" x14ac:dyDescent="0.25">
      <c r="B18" s="40" t="s">
        <v>191</v>
      </c>
      <c r="C18" s="40" t="s">
        <v>192</v>
      </c>
      <c r="D18" s="40" t="s">
        <v>193</v>
      </c>
      <c r="E18" s="40" t="s">
        <v>194</v>
      </c>
      <c r="F18" s="41" t="s">
        <v>195</v>
      </c>
    </row>
    <row r="19" spans="2:6" x14ac:dyDescent="0.25">
      <c r="B19" s="28" t="s">
        <v>196</v>
      </c>
      <c r="C19" s="28" t="s">
        <v>197</v>
      </c>
      <c r="D19" s="28" t="s">
        <v>198</v>
      </c>
      <c r="E19" s="28" t="s">
        <v>199</v>
      </c>
      <c r="F19" s="29" t="s">
        <v>200</v>
      </c>
    </row>
    <row r="20" spans="2:6" x14ac:dyDescent="0.25">
      <c r="B20" s="40" t="s">
        <v>201</v>
      </c>
      <c r="C20" s="40" t="s">
        <v>202</v>
      </c>
      <c r="D20" s="40" t="s">
        <v>183</v>
      </c>
      <c r="E20" s="40" t="s">
        <v>184</v>
      </c>
      <c r="F20" s="41" t="s">
        <v>203</v>
      </c>
    </row>
    <row r="21" spans="2:6" x14ac:dyDescent="0.25">
      <c r="B21" s="28" t="s">
        <v>204</v>
      </c>
      <c r="C21" s="28" t="s">
        <v>205</v>
      </c>
      <c r="D21" s="28" t="s">
        <v>206</v>
      </c>
      <c r="E21" s="28" t="s">
        <v>207</v>
      </c>
      <c r="F21" s="29" t="s">
        <v>208</v>
      </c>
    </row>
    <row r="22" spans="2:6" x14ac:dyDescent="0.25">
      <c r="B22" s="40" t="s">
        <v>209</v>
      </c>
      <c r="C22" s="40" t="s">
        <v>210</v>
      </c>
      <c r="D22" s="40" t="s">
        <v>211</v>
      </c>
      <c r="E22" s="40" t="s">
        <v>212</v>
      </c>
      <c r="F22" s="41" t="s">
        <v>213</v>
      </c>
    </row>
    <row r="23" spans="2:6" x14ac:dyDescent="0.25">
      <c r="B23" s="28" t="s">
        <v>214</v>
      </c>
      <c r="C23" s="28" t="s">
        <v>215</v>
      </c>
      <c r="D23" s="28" t="s">
        <v>216</v>
      </c>
      <c r="E23" s="28" t="s">
        <v>217</v>
      </c>
      <c r="F23" s="29" t="s">
        <v>218</v>
      </c>
    </row>
    <row r="24" spans="2:6" x14ac:dyDescent="0.25">
      <c r="B24" s="40" t="s">
        <v>219</v>
      </c>
      <c r="C24" s="40" t="s">
        <v>220</v>
      </c>
      <c r="D24" s="40" t="s">
        <v>221</v>
      </c>
      <c r="E24" s="40" t="s">
        <v>222</v>
      </c>
      <c r="F24" s="41" t="s">
        <v>223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7109375" defaultRowHeight="15" customHeight="1" x14ac:dyDescent="0.25"/>
  <cols>
    <col min="1" max="1" width="3" customWidth="1"/>
    <col min="2" max="2" width="42" customWidth="1"/>
    <col min="3" max="5" width="16" customWidth="1"/>
    <col min="6" max="6" width="55" customWidth="1"/>
  </cols>
  <sheetData>
    <row r="2" spans="2:6" ht="28.5" x14ac:dyDescent="0.75">
      <c r="B2" s="1" t="s">
        <v>224</v>
      </c>
      <c r="C2" s="1"/>
      <c r="D2" s="1"/>
      <c r="E2" s="1"/>
      <c r="F2" s="1"/>
    </row>
    <row r="3" spans="2:6" x14ac:dyDescent="0.25">
      <c r="B3" s="6" t="s">
        <v>225</v>
      </c>
      <c r="C3" s="6"/>
      <c r="D3" s="6"/>
      <c r="E3" s="6"/>
      <c r="F3" s="6"/>
    </row>
    <row r="5" spans="2:6" x14ac:dyDescent="0.25">
      <c r="B5" s="24" t="s">
        <v>226</v>
      </c>
      <c r="C5" s="24" t="s">
        <v>227</v>
      </c>
      <c r="D5" s="24" t="s">
        <v>228</v>
      </c>
      <c r="E5" s="24" t="s">
        <v>229</v>
      </c>
      <c r="F5" s="24" t="s">
        <v>230</v>
      </c>
    </row>
    <row r="6" spans="2:6" x14ac:dyDescent="0.25">
      <c r="B6" s="42" t="s">
        <v>231</v>
      </c>
      <c r="C6" s="42"/>
      <c r="D6" s="42"/>
      <c r="E6" s="42" t="s">
        <v>232</v>
      </c>
      <c r="F6" s="43"/>
    </row>
    <row r="7" spans="2:6" x14ac:dyDescent="0.25">
      <c r="B7" s="28" t="s">
        <v>233</v>
      </c>
      <c r="C7" s="28" t="s">
        <v>234</v>
      </c>
      <c r="D7" s="28" t="s">
        <v>234</v>
      </c>
      <c r="E7" s="28" t="s">
        <v>232</v>
      </c>
      <c r="F7" s="18" t="s">
        <v>235</v>
      </c>
    </row>
    <row r="8" spans="2:6" x14ac:dyDescent="0.25">
      <c r="B8" s="28" t="s">
        <v>236</v>
      </c>
      <c r="C8" s="28" t="s">
        <v>234</v>
      </c>
      <c r="D8" s="28" t="s">
        <v>234</v>
      </c>
      <c r="E8" s="28" t="s">
        <v>232</v>
      </c>
      <c r="F8" s="18" t="s">
        <v>237</v>
      </c>
    </row>
    <row r="9" spans="2:6" x14ac:dyDescent="0.25">
      <c r="B9" s="28" t="s">
        <v>238</v>
      </c>
      <c r="C9" s="28" t="s">
        <v>234</v>
      </c>
      <c r="D9" s="28" t="s">
        <v>234</v>
      </c>
      <c r="E9" s="28" t="s">
        <v>232</v>
      </c>
      <c r="F9" s="18" t="s">
        <v>239</v>
      </c>
    </row>
    <row r="10" spans="2:6" x14ac:dyDescent="0.25">
      <c r="B10" s="28" t="s">
        <v>240</v>
      </c>
      <c r="C10" s="28" t="s">
        <v>234</v>
      </c>
      <c r="D10" s="28" t="s">
        <v>234</v>
      </c>
      <c r="E10" s="28" t="s">
        <v>232</v>
      </c>
      <c r="F10" s="18" t="s">
        <v>241</v>
      </c>
    </row>
    <row r="11" spans="2:6" x14ac:dyDescent="0.25">
      <c r="B11" s="28" t="s">
        <v>242</v>
      </c>
      <c r="C11" s="28" t="s">
        <v>234</v>
      </c>
      <c r="D11" s="28" t="s">
        <v>234</v>
      </c>
      <c r="E11" s="28" t="s">
        <v>232</v>
      </c>
      <c r="F11" s="18" t="s">
        <v>243</v>
      </c>
    </row>
    <row r="12" spans="2:6" x14ac:dyDescent="0.25">
      <c r="B12" s="28" t="s">
        <v>244</v>
      </c>
      <c r="C12" s="28" t="s">
        <v>234</v>
      </c>
      <c r="D12" s="28" t="s">
        <v>234</v>
      </c>
      <c r="E12" s="28" t="s">
        <v>232</v>
      </c>
      <c r="F12" s="18" t="s">
        <v>239</v>
      </c>
    </row>
    <row r="13" spans="2:6" x14ac:dyDescent="0.25">
      <c r="B13" s="28" t="s">
        <v>245</v>
      </c>
      <c r="C13" s="28" t="s">
        <v>234</v>
      </c>
      <c r="D13" s="28" t="s">
        <v>234</v>
      </c>
      <c r="E13" s="28" t="s">
        <v>232</v>
      </c>
      <c r="F13" s="18" t="s">
        <v>237</v>
      </c>
    </row>
    <row r="14" spans="2:6" x14ac:dyDescent="0.25">
      <c r="B14" s="28" t="s">
        <v>196</v>
      </c>
      <c r="C14" s="28" t="s">
        <v>246</v>
      </c>
      <c r="D14" s="28" t="s">
        <v>247</v>
      </c>
      <c r="E14" s="28" t="s">
        <v>232</v>
      </c>
      <c r="F14" s="18" t="s">
        <v>248</v>
      </c>
    </row>
    <row r="15" spans="2:6" x14ac:dyDescent="0.25">
      <c r="B15" s="28" t="s">
        <v>249</v>
      </c>
      <c r="C15" s="28" t="s">
        <v>246</v>
      </c>
      <c r="D15" s="28" t="s">
        <v>247</v>
      </c>
      <c r="E15" s="28" t="s">
        <v>232</v>
      </c>
      <c r="F15" s="18" t="s">
        <v>250</v>
      </c>
    </row>
    <row r="16" spans="2:6" x14ac:dyDescent="0.25">
      <c r="B16" s="28" t="s">
        <v>251</v>
      </c>
      <c r="C16" s="28" t="s">
        <v>252</v>
      </c>
      <c r="D16" s="28" t="s">
        <v>252</v>
      </c>
      <c r="E16" s="28" t="s">
        <v>232</v>
      </c>
      <c r="F16" s="18" t="s">
        <v>253</v>
      </c>
    </row>
    <row r="17" spans="2:6" x14ac:dyDescent="0.25">
      <c r="B17" s="28" t="s">
        <v>254</v>
      </c>
      <c r="C17" s="28" t="s">
        <v>252</v>
      </c>
      <c r="D17" s="28" t="s">
        <v>252</v>
      </c>
      <c r="E17" s="28" t="s">
        <v>232</v>
      </c>
      <c r="F17" s="18" t="s">
        <v>253</v>
      </c>
    </row>
    <row r="18" spans="2:6" x14ac:dyDescent="0.25">
      <c r="B18" s="42" t="s">
        <v>255</v>
      </c>
      <c r="C18" s="42"/>
      <c r="D18" s="42"/>
      <c r="E18" s="42" t="s">
        <v>232</v>
      </c>
      <c r="F18" s="43"/>
    </row>
    <row r="19" spans="2:6" x14ac:dyDescent="0.25">
      <c r="B19" s="28" t="s">
        <v>256</v>
      </c>
      <c r="C19" s="28" t="s">
        <v>257</v>
      </c>
      <c r="D19" s="28" t="s">
        <v>257</v>
      </c>
      <c r="E19" s="34">
        <v>18000</v>
      </c>
      <c r="F19" s="18" t="s">
        <v>258</v>
      </c>
    </row>
    <row r="20" spans="2:6" x14ac:dyDescent="0.25">
      <c r="B20" s="28" t="s">
        <v>259</v>
      </c>
      <c r="C20" s="28" t="s">
        <v>260</v>
      </c>
      <c r="D20" s="28" t="s">
        <v>260</v>
      </c>
      <c r="E20" s="34">
        <v>40000</v>
      </c>
      <c r="F20" s="18" t="s">
        <v>261</v>
      </c>
    </row>
    <row r="21" spans="2:6" x14ac:dyDescent="0.25">
      <c r="B21" s="28" t="s">
        <v>262</v>
      </c>
      <c r="C21" s="28" t="s">
        <v>260</v>
      </c>
      <c r="D21" s="28" t="s">
        <v>260</v>
      </c>
      <c r="E21" s="34">
        <v>28000</v>
      </c>
      <c r="F21" s="18" t="s">
        <v>263</v>
      </c>
    </row>
    <row r="22" spans="2:6" x14ac:dyDescent="0.25">
      <c r="B22" s="28" t="s">
        <v>264</v>
      </c>
      <c r="C22" s="28" t="s">
        <v>260</v>
      </c>
      <c r="D22" s="28" t="s">
        <v>260</v>
      </c>
      <c r="E22" s="34">
        <v>8000</v>
      </c>
      <c r="F22" s="18" t="s">
        <v>265</v>
      </c>
    </row>
    <row r="23" spans="2:6" x14ac:dyDescent="0.25">
      <c r="B23" s="28" t="s">
        <v>266</v>
      </c>
      <c r="C23" s="28" t="s">
        <v>260</v>
      </c>
      <c r="D23" s="28" t="s">
        <v>260</v>
      </c>
      <c r="E23" s="34">
        <v>85000</v>
      </c>
      <c r="F23" s="18" t="s">
        <v>267</v>
      </c>
    </row>
    <row r="24" spans="2:6" x14ac:dyDescent="0.25">
      <c r="B24" s="28" t="s">
        <v>268</v>
      </c>
      <c r="C24" s="28" t="s">
        <v>260</v>
      </c>
      <c r="D24" s="28" t="s">
        <v>260</v>
      </c>
      <c r="E24" s="34">
        <v>22000</v>
      </c>
      <c r="F24" s="18" t="s">
        <v>269</v>
      </c>
    </row>
    <row r="25" spans="2:6" x14ac:dyDescent="0.25">
      <c r="B25" s="28" t="s">
        <v>270</v>
      </c>
      <c r="C25" s="28" t="s">
        <v>257</v>
      </c>
      <c r="D25" s="28" t="s">
        <v>257</v>
      </c>
      <c r="E25" s="34">
        <v>40000</v>
      </c>
      <c r="F25" s="18" t="s">
        <v>271</v>
      </c>
    </row>
    <row r="26" spans="2:6" x14ac:dyDescent="0.25">
      <c r="B26" s="28" t="s">
        <v>272</v>
      </c>
      <c r="C26" s="28" t="s">
        <v>260</v>
      </c>
      <c r="D26" s="28" t="s">
        <v>260</v>
      </c>
      <c r="E26" s="34">
        <v>25000</v>
      </c>
      <c r="F26" s="18" t="s">
        <v>273</v>
      </c>
    </row>
    <row r="27" spans="2:6" x14ac:dyDescent="0.25">
      <c r="B27" s="28" t="s">
        <v>274</v>
      </c>
      <c r="C27" s="28" t="s">
        <v>260</v>
      </c>
      <c r="D27" s="28" t="s">
        <v>260</v>
      </c>
      <c r="E27" s="34">
        <v>75000</v>
      </c>
      <c r="F27" s="18" t="s">
        <v>275</v>
      </c>
    </row>
    <row r="28" spans="2:6" x14ac:dyDescent="0.25">
      <c r="B28" s="28" t="s">
        <v>276</v>
      </c>
      <c r="C28" s="28" t="s">
        <v>260</v>
      </c>
      <c r="D28" s="28" t="s">
        <v>260</v>
      </c>
      <c r="E28" s="34">
        <v>21000</v>
      </c>
      <c r="F28" s="18" t="s">
        <v>277</v>
      </c>
    </row>
    <row r="29" spans="2:6" x14ac:dyDescent="0.25">
      <c r="B29" s="28" t="s">
        <v>278</v>
      </c>
      <c r="C29" s="28" t="s">
        <v>260</v>
      </c>
      <c r="D29" s="28" t="s">
        <v>260</v>
      </c>
      <c r="E29" s="34">
        <v>15000</v>
      </c>
      <c r="F29" s="18" t="s">
        <v>279</v>
      </c>
    </row>
    <row r="30" spans="2:6" x14ac:dyDescent="0.25">
      <c r="B30" s="28" t="s">
        <v>280</v>
      </c>
      <c r="C30" s="28" t="s">
        <v>260</v>
      </c>
      <c r="D30" s="28" t="s">
        <v>260</v>
      </c>
      <c r="E30" s="34">
        <v>60000</v>
      </c>
      <c r="F30" s="18" t="s">
        <v>281</v>
      </c>
    </row>
    <row r="31" spans="2:6" x14ac:dyDescent="0.25">
      <c r="B31" s="28" t="s">
        <v>282</v>
      </c>
      <c r="C31" s="28" t="s">
        <v>260</v>
      </c>
      <c r="D31" s="28" t="s">
        <v>260</v>
      </c>
      <c r="E31" s="34">
        <v>8000</v>
      </c>
      <c r="F31" s="18" t="s">
        <v>283</v>
      </c>
    </row>
    <row r="32" spans="2:6" x14ac:dyDescent="0.25">
      <c r="B32" s="28" t="s">
        <v>284</v>
      </c>
      <c r="C32" s="28" t="s">
        <v>260</v>
      </c>
      <c r="D32" s="28" t="s">
        <v>260</v>
      </c>
      <c r="E32" s="34">
        <v>15000</v>
      </c>
      <c r="F32" s="18" t="s">
        <v>285</v>
      </c>
    </row>
    <row r="33" spans="2:6" x14ac:dyDescent="0.25">
      <c r="B33" s="28" t="s">
        <v>286</v>
      </c>
      <c r="C33" s="28" t="s">
        <v>260</v>
      </c>
      <c r="D33" s="28" t="s">
        <v>260</v>
      </c>
      <c r="E33" s="34">
        <v>10000</v>
      </c>
      <c r="F33" s="18" t="s">
        <v>287</v>
      </c>
    </row>
    <row r="34" spans="2:6" x14ac:dyDescent="0.25">
      <c r="B34" s="28" t="s">
        <v>288</v>
      </c>
      <c r="C34" s="28" t="s">
        <v>260</v>
      </c>
      <c r="D34" s="28" t="s">
        <v>260</v>
      </c>
      <c r="E34" s="34">
        <v>12000</v>
      </c>
      <c r="F34" s="18" t="s">
        <v>289</v>
      </c>
    </row>
    <row r="35" spans="2:6" x14ac:dyDescent="0.25">
      <c r="B35" s="28" t="s">
        <v>290</v>
      </c>
      <c r="C35" s="28" t="s">
        <v>260</v>
      </c>
      <c r="D35" s="28" t="s">
        <v>260</v>
      </c>
      <c r="E35" s="34">
        <v>10000</v>
      </c>
      <c r="F35" s="18" t="s">
        <v>291</v>
      </c>
    </row>
    <row r="36" spans="2:6" x14ac:dyDescent="0.25">
      <c r="B36" s="28" t="s">
        <v>292</v>
      </c>
      <c r="C36" s="28" t="s">
        <v>260</v>
      </c>
      <c r="D36" s="28" t="s">
        <v>260</v>
      </c>
      <c r="E36" s="34">
        <v>25000</v>
      </c>
      <c r="F36" s="18" t="s">
        <v>293</v>
      </c>
    </row>
    <row r="37" spans="2:6" x14ac:dyDescent="0.25">
      <c r="B37" s="28" t="s">
        <v>294</v>
      </c>
      <c r="C37" s="28" t="s">
        <v>260</v>
      </c>
      <c r="D37" s="28" t="s">
        <v>260</v>
      </c>
      <c r="E37" s="34">
        <v>8000</v>
      </c>
      <c r="F37" s="18" t="s">
        <v>295</v>
      </c>
    </row>
    <row r="38" spans="2:6" x14ac:dyDescent="0.25">
      <c r="B38" s="28" t="s">
        <v>296</v>
      </c>
      <c r="C38" s="28" t="s">
        <v>260</v>
      </c>
      <c r="D38" s="28" t="s">
        <v>260</v>
      </c>
      <c r="E38" s="34">
        <v>8000</v>
      </c>
      <c r="F38" s="18" t="s">
        <v>297</v>
      </c>
    </row>
    <row r="39" spans="2:6" x14ac:dyDescent="0.25">
      <c r="B39" s="28" t="s">
        <v>298</v>
      </c>
      <c r="C39" s="28" t="s">
        <v>260</v>
      </c>
      <c r="D39" s="28" t="s">
        <v>260</v>
      </c>
      <c r="E39" s="34">
        <v>5000</v>
      </c>
      <c r="F39" s="18" t="s">
        <v>299</v>
      </c>
    </row>
    <row r="40" spans="2:6" x14ac:dyDescent="0.25">
      <c r="B40" s="28" t="s">
        <v>300</v>
      </c>
      <c r="C40" s="28" t="s">
        <v>260</v>
      </c>
      <c r="D40" s="28" t="s">
        <v>260</v>
      </c>
      <c r="E40" s="34">
        <v>65000</v>
      </c>
      <c r="F40" s="18" t="s">
        <v>301</v>
      </c>
    </row>
    <row r="41" spans="2:6" x14ac:dyDescent="0.25">
      <c r="B41" s="28" t="s">
        <v>302</v>
      </c>
      <c r="C41" s="28" t="s">
        <v>260</v>
      </c>
      <c r="D41" s="28" t="s">
        <v>260</v>
      </c>
      <c r="E41" s="34">
        <v>12000</v>
      </c>
      <c r="F41" s="18" t="s">
        <v>303</v>
      </c>
    </row>
    <row r="42" spans="2:6" x14ac:dyDescent="0.25">
      <c r="B42" s="28" t="s">
        <v>304</v>
      </c>
      <c r="C42" s="28" t="s">
        <v>260</v>
      </c>
      <c r="D42" s="28" t="s">
        <v>260</v>
      </c>
      <c r="E42" s="34">
        <v>5000</v>
      </c>
      <c r="F42" s="18" t="s">
        <v>305</v>
      </c>
    </row>
    <row r="43" spans="2:6" x14ac:dyDescent="0.25">
      <c r="B43" s="28" t="s">
        <v>306</v>
      </c>
      <c r="C43" s="28" t="s">
        <v>260</v>
      </c>
      <c r="D43" s="28" t="s">
        <v>260</v>
      </c>
      <c r="E43" s="34">
        <v>8000</v>
      </c>
      <c r="F43" s="18" t="s">
        <v>307</v>
      </c>
    </row>
    <row r="44" spans="2:6" x14ac:dyDescent="0.25">
      <c r="B44" s="28" t="s">
        <v>308</v>
      </c>
      <c r="C44" s="28" t="s">
        <v>260</v>
      </c>
      <c r="D44" s="28" t="s">
        <v>260</v>
      </c>
      <c r="E44" s="34">
        <v>12000</v>
      </c>
      <c r="F44" s="18" t="s">
        <v>309</v>
      </c>
    </row>
    <row r="45" spans="2:6" x14ac:dyDescent="0.25">
      <c r="B45" s="28" t="s">
        <v>310</v>
      </c>
      <c r="C45" s="28" t="s">
        <v>260</v>
      </c>
      <c r="D45" s="28" t="s">
        <v>260</v>
      </c>
      <c r="E45" s="34">
        <v>15000</v>
      </c>
      <c r="F45" s="18" t="s">
        <v>311</v>
      </c>
    </row>
    <row r="46" spans="2:6" x14ac:dyDescent="0.25">
      <c r="B46" s="28" t="s">
        <v>312</v>
      </c>
      <c r="C46" s="28" t="s">
        <v>260</v>
      </c>
      <c r="D46" s="28" t="s">
        <v>260</v>
      </c>
      <c r="E46" s="34">
        <v>5000</v>
      </c>
      <c r="F46" s="18" t="s">
        <v>313</v>
      </c>
    </row>
    <row r="47" spans="2:6" x14ac:dyDescent="0.25">
      <c r="B47" s="28" t="s">
        <v>314</v>
      </c>
      <c r="C47" s="28" t="s">
        <v>260</v>
      </c>
      <c r="D47" s="28" t="s">
        <v>260</v>
      </c>
      <c r="E47" s="34">
        <v>12000</v>
      </c>
      <c r="F47" s="18" t="s">
        <v>315</v>
      </c>
    </row>
    <row r="48" spans="2:6" x14ac:dyDescent="0.25">
      <c r="B48" s="28" t="s">
        <v>316</v>
      </c>
      <c r="C48" s="28" t="s">
        <v>260</v>
      </c>
      <c r="D48" s="28" t="s">
        <v>260</v>
      </c>
      <c r="E48" s="34">
        <v>3000</v>
      </c>
      <c r="F48" s="18" t="s">
        <v>317</v>
      </c>
    </row>
    <row r="49" spans="2:6" x14ac:dyDescent="0.25">
      <c r="B49" s="28" t="s">
        <v>318</v>
      </c>
      <c r="C49" s="28" t="s">
        <v>260</v>
      </c>
      <c r="D49" s="28" t="s">
        <v>260</v>
      </c>
      <c r="E49" s="34">
        <v>3000</v>
      </c>
      <c r="F49" s="18" t="s">
        <v>319</v>
      </c>
    </row>
    <row r="50" spans="2:6" x14ac:dyDescent="0.25">
      <c r="B50" s="28" t="s">
        <v>320</v>
      </c>
      <c r="C50" s="28" t="s">
        <v>260</v>
      </c>
      <c r="D50" s="28" t="s">
        <v>260</v>
      </c>
      <c r="E50" s="34">
        <v>25000</v>
      </c>
      <c r="F50" s="18" t="s">
        <v>321</v>
      </c>
    </row>
    <row r="51" spans="2:6" x14ac:dyDescent="0.25">
      <c r="B51" s="24" t="s">
        <v>322</v>
      </c>
      <c r="C51" s="44"/>
      <c r="D51" s="44"/>
      <c r="E51" s="45">
        <v>703000</v>
      </c>
      <c r="F51" s="26" t="s">
        <v>323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Ejecutivo</vt:lpstr>
      <vt:lpstr>Benchmarks &amp; References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Arrieta Guajardo</cp:lastModifiedBy>
  <cp:revision>0</cp:revision>
  <dcterms:created xsi:type="dcterms:W3CDTF">2026-03-24T01:15:26Z</dcterms:created>
  <dcterms:modified xsi:type="dcterms:W3CDTF">2026-03-24T01:19:07Z</dcterms:modified>
  <dc:language>en-US</dc:language>
</cp:coreProperties>
</file>